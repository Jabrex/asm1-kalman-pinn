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sta\Desktop\asm1_cl_pinn\"/>
    </mc:Choice>
  </mc:AlternateContent>
  <xr:revisionPtr revIDLastSave="0" documentId="13_ncr:1_{1D356064-B3E5-48FA-A0E1-59AA1C95B97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ASM1_f_P">Sheet1!$G$26</definedName>
    <definedName name="ASM1_i_Charge_NHx">Sheet1!$G$33</definedName>
    <definedName name="ASM1_i_Charge_NOx">Sheet1!$G$34</definedName>
    <definedName name="ASM1_i_COD_N2">Sheet1!$G$32</definedName>
    <definedName name="ASM1_i_COD_NOx">Sheet1!$G$31</definedName>
    <definedName name="ASM1_i_NOx.N2">Sheet1!$G$30</definedName>
    <definedName name="ASM1_i_XB">Sheet1!$G$28</definedName>
    <definedName name="ASM1_i_XP">Sheet1!$G$29</definedName>
    <definedName name="ASM1_Y_A">Sheet1!$G$27</definedName>
    <definedName name="ASM1_Y_H">Sheet1!$G$25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0" i="1" l="1"/>
  <c r="W67" i="1"/>
  <c r="R67" i="1"/>
  <c r="O67" i="1"/>
  <c r="AB67" i="1" s="1"/>
  <c r="W66" i="1"/>
  <c r="R66" i="1"/>
  <c r="O66" i="1"/>
  <c r="AB66" i="1" s="1"/>
  <c r="X65" i="1"/>
  <c r="U65" i="1"/>
  <c r="T65" i="1"/>
  <c r="S65" i="1"/>
  <c r="AB65" i="1" s="1"/>
  <c r="U64" i="1"/>
  <c r="M64" i="1"/>
  <c r="X63" i="1"/>
  <c r="U63" i="1"/>
  <c r="S63" i="1"/>
  <c r="M63" i="1"/>
  <c r="AB63" i="1" s="1"/>
  <c r="AA61" i="1"/>
  <c r="AB54" i="1"/>
  <c r="AB53" i="1"/>
  <c r="AB52" i="1"/>
  <c r="AB69" i="1" s="1"/>
  <c r="G34" i="1"/>
  <c r="AC56" i="1" s="1"/>
  <c r="G33" i="1"/>
  <c r="X68" i="1" s="1"/>
  <c r="G32" i="1"/>
  <c r="G31" i="1"/>
  <c r="AA56" i="1" s="1"/>
  <c r="G30" i="1"/>
  <c r="Y64" i="1" s="1"/>
  <c r="AA70" i="1" l="1"/>
  <c r="AA69" i="1"/>
  <c r="AA68" i="1"/>
  <c r="AA65" i="1"/>
  <c r="AA66" i="1"/>
  <c r="AC57" i="1"/>
  <c r="AC69" i="1" s="1"/>
  <c r="AA67" i="1"/>
  <c r="AA63" i="1"/>
  <c r="T64" i="1"/>
  <c r="AB64" i="1" s="1"/>
  <c r="AB68" i="1"/>
  <c r="X64" i="1"/>
  <c r="AA64" i="1"/>
  <c r="AC64" i="1" l="1"/>
  <c r="AC65" i="1"/>
  <c r="AC70" i="1"/>
  <c r="AC66" i="1"/>
  <c r="AC67" i="1"/>
  <c r="AC63" i="1"/>
  <c r="AC68" i="1"/>
</calcChain>
</file>

<file path=xl/sharedStrings.xml><?xml version="1.0" encoding="utf-8"?>
<sst xmlns="http://schemas.openxmlformats.org/spreadsheetml/2006/main" count="372" uniqueCount="279">
  <si>
    <t>ASM1</t>
  </si>
  <si>
    <t>Parameters</t>
  </si>
  <si>
    <t>Original publication</t>
  </si>
  <si>
    <t xml:space="preserve"> Henze M., Grady C. P. L. Jr, Gujer W., Marais G. v. R. and Matsuo T. (2000) Activated Sludge Model No. 1, IWA Publishing, Scientific and Technical Report No. 9, London IWA.</t>
  </si>
  <si>
    <t>* Henze M., Grady C. P. L. Jr, Gujer W., Marais G. v. R. and Matsuo T. (2000) Activated Sludge Model No. 1, IWA Publishing, Scientific and Technical Report No. 9, London IWA.</t>
  </si>
  <si>
    <t>Corrections</t>
  </si>
  <si>
    <r>
      <t xml:space="preserve">added term     </t>
    </r>
    <r>
      <rPr>
        <b/>
        <sz val="14"/>
        <color indexed="57"/>
        <rFont val="Arial"/>
        <family val="2"/>
      </rPr>
      <t xml:space="preserve">corrected term    </t>
    </r>
    <r>
      <rPr>
        <b/>
        <sz val="14"/>
        <color indexed="12"/>
        <rFont val="Arial"/>
        <family val="2"/>
      </rPr>
      <t xml:space="preserve"> term to be careful with</t>
    </r>
  </si>
  <si>
    <t>**The parameters and variables newly introduced in this study are named according to the standardised notation rules (Corominas et al., 2010) and thus may not be consistent with the original model notation.</t>
  </si>
  <si>
    <t>Corrected Matrix: Original Notation</t>
  </si>
  <si>
    <t>Parameter **</t>
  </si>
  <si>
    <t>Standardised notation</t>
  </si>
  <si>
    <t>unit</t>
  </si>
  <si>
    <t>Value*
T=20°C</t>
  </si>
  <si>
    <r>
      <t>S</t>
    </r>
    <r>
      <rPr>
        <b/>
        <vertAlign val="subscript"/>
        <sz val="12"/>
        <rFont val="Arial"/>
        <family val="2"/>
      </rPr>
      <t>I</t>
    </r>
  </si>
  <si>
    <r>
      <t>S</t>
    </r>
    <r>
      <rPr>
        <b/>
        <vertAlign val="subscript"/>
        <sz val="12"/>
        <rFont val="Arial"/>
        <family val="2"/>
      </rPr>
      <t>S</t>
    </r>
  </si>
  <si>
    <r>
      <t>X</t>
    </r>
    <r>
      <rPr>
        <b/>
        <vertAlign val="subscript"/>
        <sz val="12"/>
        <rFont val="Arial"/>
        <family val="2"/>
      </rPr>
      <t>I</t>
    </r>
  </si>
  <si>
    <r>
      <t>X</t>
    </r>
    <r>
      <rPr>
        <b/>
        <vertAlign val="subscript"/>
        <sz val="12"/>
        <rFont val="Arial"/>
        <family val="2"/>
      </rPr>
      <t>S</t>
    </r>
  </si>
  <si>
    <r>
      <t>X</t>
    </r>
    <r>
      <rPr>
        <b/>
        <vertAlign val="subscript"/>
        <sz val="12"/>
        <rFont val="Arial"/>
        <family val="2"/>
      </rPr>
      <t>B,H</t>
    </r>
  </si>
  <si>
    <r>
      <t>X</t>
    </r>
    <r>
      <rPr>
        <b/>
        <vertAlign val="subscript"/>
        <sz val="12"/>
        <rFont val="Arial"/>
        <family val="2"/>
      </rPr>
      <t>B,A</t>
    </r>
  </si>
  <si>
    <r>
      <t>X</t>
    </r>
    <r>
      <rPr>
        <b/>
        <vertAlign val="subscript"/>
        <sz val="12"/>
        <rFont val="Arial"/>
        <family val="2"/>
      </rPr>
      <t>P</t>
    </r>
  </si>
  <si>
    <r>
      <t>S</t>
    </r>
    <r>
      <rPr>
        <b/>
        <vertAlign val="subscript"/>
        <sz val="12"/>
        <rFont val="Arial"/>
        <family val="2"/>
      </rPr>
      <t>O</t>
    </r>
  </si>
  <si>
    <r>
      <t>S</t>
    </r>
    <r>
      <rPr>
        <b/>
        <vertAlign val="subscript"/>
        <sz val="12"/>
        <rFont val="Arial"/>
        <family val="2"/>
      </rPr>
      <t>NO</t>
    </r>
  </si>
  <si>
    <r>
      <t>S</t>
    </r>
    <r>
      <rPr>
        <b/>
        <vertAlign val="subscript"/>
        <sz val="12"/>
        <rFont val="Arial"/>
        <family val="2"/>
      </rPr>
      <t>NH</t>
    </r>
  </si>
  <si>
    <r>
      <t>S</t>
    </r>
    <r>
      <rPr>
        <b/>
        <vertAlign val="subscript"/>
        <sz val="12"/>
        <rFont val="Arial"/>
        <family val="2"/>
      </rPr>
      <t>ND</t>
    </r>
  </si>
  <si>
    <r>
      <t>X</t>
    </r>
    <r>
      <rPr>
        <b/>
        <vertAlign val="subscript"/>
        <sz val="12"/>
        <rFont val="Arial"/>
        <family val="2"/>
      </rPr>
      <t>ND</t>
    </r>
  </si>
  <si>
    <r>
      <t>S</t>
    </r>
    <r>
      <rPr>
        <b/>
        <vertAlign val="subscript"/>
        <sz val="12"/>
        <rFont val="Arial"/>
        <family val="2"/>
      </rPr>
      <t>ALK</t>
    </r>
  </si>
  <si>
    <r>
      <t>S</t>
    </r>
    <r>
      <rPr>
        <b/>
        <vertAlign val="subscript"/>
        <sz val="12"/>
        <color indexed="10"/>
        <rFont val="Arial"/>
        <family val="2"/>
      </rPr>
      <t>N2</t>
    </r>
  </si>
  <si>
    <t>Pocess rate</t>
  </si>
  <si>
    <t>State Variables</t>
  </si>
  <si>
    <t>Soluble biodegradable organics</t>
  </si>
  <si>
    <r>
      <t>S</t>
    </r>
    <r>
      <rPr>
        <vertAlign val="subscript"/>
        <sz val="12"/>
        <rFont val="Arial"/>
        <family val="2"/>
      </rPr>
      <t>S</t>
    </r>
  </si>
  <si>
    <r>
      <t>S</t>
    </r>
    <r>
      <rPr>
        <vertAlign val="subscript"/>
        <sz val="12"/>
        <rFont val="Arial"/>
        <family val="2"/>
      </rPr>
      <t>B</t>
    </r>
  </si>
  <si>
    <r>
      <t>g COD.m</t>
    </r>
    <r>
      <rPr>
        <vertAlign val="superscript"/>
        <sz val="8"/>
        <rFont val="Arial"/>
        <family val="2"/>
      </rPr>
      <t>-3</t>
    </r>
  </si>
  <si>
    <t>Aerobic growth of heterotrophs</t>
  </si>
  <si>
    <r>
      <t>-1/</t>
    </r>
    <r>
      <rPr>
        <i/>
        <sz val="12"/>
        <rFont val="Arial"/>
        <family val="2"/>
      </rPr>
      <t>Y</t>
    </r>
    <r>
      <rPr>
        <vertAlign val="subscript"/>
        <sz val="12"/>
        <rFont val="Arial"/>
        <family val="2"/>
      </rPr>
      <t>H</t>
    </r>
  </si>
  <si>
    <r>
      <t>-(1-</t>
    </r>
    <r>
      <rPr>
        <i/>
        <sz val="12"/>
        <rFont val="Arial"/>
        <family val="2"/>
      </rPr>
      <t>Y</t>
    </r>
    <r>
      <rPr>
        <vertAlign val="subscript"/>
        <sz val="12"/>
        <rFont val="Arial"/>
        <family val="2"/>
      </rPr>
      <t>H</t>
    </r>
    <r>
      <rPr>
        <sz val="12"/>
        <rFont val="Arial"/>
        <family val="2"/>
      </rPr>
      <t>)/</t>
    </r>
    <r>
      <rPr>
        <i/>
        <sz val="12"/>
        <rFont val="Arial"/>
        <family val="2"/>
      </rPr>
      <t>Y</t>
    </r>
    <r>
      <rPr>
        <vertAlign val="subscript"/>
        <sz val="12"/>
        <rFont val="Arial"/>
        <family val="2"/>
      </rPr>
      <t>H</t>
    </r>
  </si>
  <si>
    <r>
      <t>-</t>
    </r>
    <r>
      <rPr>
        <i/>
        <sz val="12"/>
        <rFont val="Arial"/>
        <family val="2"/>
      </rPr>
      <t>i</t>
    </r>
    <r>
      <rPr>
        <vertAlign val="subscript"/>
        <sz val="12"/>
        <rFont val="Arial"/>
        <family val="2"/>
      </rPr>
      <t>XB</t>
    </r>
  </si>
  <si>
    <r>
      <t>-</t>
    </r>
    <r>
      <rPr>
        <i/>
        <sz val="12"/>
        <rFont val="Arial"/>
        <family val="2"/>
      </rPr>
      <t>i</t>
    </r>
    <r>
      <rPr>
        <vertAlign val="subscript"/>
        <sz val="12"/>
        <rFont val="Arial"/>
        <family val="2"/>
      </rPr>
      <t>XB</t>
    </r>
    <r>
      <rPr>
        <sz val="12"/>
        <rFont val="Arial"/>
        <family val="2"/>
      </rPr>
      <t>*</t>
    </r>
    <r>
      <rPr>
        <i/>
        <sz val="12"/>
        <rFont val="Arial"/>
        <family val="2"/>
      </rPr>
      <t>i</t>
    </r>
    <r>
      <rPr>
        <vertAlign val="subscript"/>
        <sz val="12"/>
        <rFont val="Arial"/>
        <family val="2"/>
      </rPr>
      <t>Charge_SNHx</t>
    </r>
  </si>
  <si>
    <r>
      <t>μ</t>
    </r>
    <r>
      <rPr>
        <vertAlign val="subscript"/>
        <sz val="12"/>
        <color indexed="8"/>
        <rFont val="Arial"/>
        <family val="2"/>
      </rPr>
      <t>H</t>
    </r>
    <r>
      <rPr>
        <sz val="12"/>
        <color indexed="8"/>
        <rFont val="Arial"/>
        <family val="2"/>
      </rPr>
      <t>*[</t>
    </r>
    <r>
      <rPr>
        <i/>
        <sz val="12"/>
        <color indexed="8"/>
        <rFont val="Arial"/>
        <family val="2"/>
      </rPr>
      <t>S</t>
    </r>
    <r>
      <rPr>
        <vertAlign val="subscript"/>
        <sz val="12"/>
        <color indexed="8"/>
        <rFont val="Arial"/>
        <family val="2"/>
      </rPr>
      <t>S</t>
    </r>
    <r>
      <rPr>
        <sz val="12"/>
        <color indexed="8"/>
        <rFont val="Arial"/>
        <family val="2"/>
      </rPr>
      <t>/(</t>
    </r>
    <r>
      <rPr>
        <i/>
        <sz val="12"/>
        <color indexed="8"/>
        <rFont val="Arial"/>
        <family val="2"/>
      </rPr>
      <t>K</t>
    </r>
    <r>
      <rPr>
        <vertAlign val="subscript"/>
        <sz val="12"/>
        <color indexed="8"/>
        <rFont val="Arial"/>
        <family val="2"/>
      </rPr>
      <t>S</t>
    </r>
    <r>
      <rPr>
        <sz val="12"/>
        <color indexed="8"/>
        <rFont val="Arial"/>
        <family val="2"/>
      </rPr>
      <t>+</t>
    </r>
    <r>
      <rPr>
        <i/>
        <sz val="12"/>
        <color indexed="8"/>
        <rFont val="Arial"/>
        <family val="2"/>
      </rPr>
      <t>S</t>
    </r>
    <r>
      <rPr>
        <vertAlign val="subscript"/>
        <sz val="12"/>
        <color indexed="8"/>
        <rFont val="Arial"/>
        <family val="2"/>
      </rPr>
      <t>S</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sz val="12"/>
        <color indexed="10"/>
        <rFont val="Arial"/>
        <family val="2"/>
      </rPr>
      <t>[</t>
    </r>
    <r>
      <rPr>
        <i/>
        <sz val="12"/>
        <color indexed="10"/>
        <rFont val="Arial"/>
        <family val="2"/>
      </rPr>
      <t>S</t>
    </r>
    <r>
      <rPr>
        <vertAlign val="subscript"/>
        <sz val="12"/>
        <color indexed="10"/>
        <rFont val="Arial"/>
        <family val="2"/>
      </rPr>
      <t>NH</t>
    </r>
    <r>
      <rPr>
        <sz val="12"/>
        <color indexed="10"/>
        <rFont val="Arial"/>
        <family val="2"/>
      </rPr>
      <t>/(</t>
    </r>
    <r>
      <rPr>
        <i/>
        <sz val="12"/>
        <color indexed="10"/>
        <rFont val="Arial"/>
        <family val="2"/>
      </rPr>
      <t>K</t>
    </r>
    <r>
      <rPr>
        <vertAlign val="subscript"/>
        <sz val="12"/>
        <color indexed="10"/>
        <rFont val="Arial"/>
        <family val="2"/>
      </rPr>
      <t>NH,H</t>
    </r>
    <r>
      <rPr>
        <sz val="12"/>
        <color indexed="10"/>
        <rFont val="Arial"/>
        <family val="2"/>
      </rPr>
      <t>+</t>
    </r>
    <r>
      <rPr>
        <i/>
        <sz val="12"/>
        <color indexed="10"/>
        <rFont val="Arial"/>
        <family val="2"/>
      </rPr>
      <t>S</t>
    </r>
    <r>
      <rPr>
        <vertAlign val="subscript"/>
        <sz val="12"/>
        <color indexed="10"/>
        <rFont val="Arial"/>
        <family val="2"/>
      </rPr>
      <t>NH</t>
    </r>
    <r>
      <rPr>
        <sz val="12"/>
        <color indexed="10"/>
        <rFont val="Arial"/>
        <family val="2"/>
      </rPr>
      <t>)]</t>
    </r>
    <r>
      <rPr>
        <sz val="12"/>
        <color indexed="8"/>
        <rFont val="Arial"/>
        <family val="2"/>
      </rPr>
      <t>*</t>
    </r>
    <r>
      <rPr>
        <i/>
        <sz val="12"/>
        <color indexed="8"/>
        <rFont val="Arial"/>
        <family val="2"/>
      </rPr>
      <t>X</t>
    </r>
    <r>
      <rPr>
        <vertAlign val="subscript"/>
        <sz val="12"/>
        <color indexed="8"/>
        <rFont val="Arial"/>
        <family val="2"/>
      </rPr>
      <t>B,H</t>
    </r>
  </si>
  <si>
    <t>Soluble undegradable organics</t>
  </si>
  <si>
    <r>
      <t>S</t>
    </r>
    <r>
      <rPr>
        <vertAlign val="subscript"/>
        <sz val="12"/>
        <rFont val="Arial"/>
        <family val="2"/>
      </rPr>
      <t>I</t>
    </r>
  </si>
  <si>
    <r>
      <t>S</t>
    </r>
    <r>
      <rPr>
        <vertAlign val="subscript"/>
        <sz val="12"/>
        <rFont val="Arial"/>
        <family val="2"/>
      </rPr>
      <t>U</t>
    </r>
  </si>
  <si>
    <t>Anoxic growth of heterotrophs</t>
  </si>
  <si>
    <r>
      <t>-(1-</t>
    </r>
    <r>
      <rPr>
        <i/>
        <sz val="12"/>
        <rFont val="Arial"/>
        <family val="2"/>
      </rPr>
      <t>Y</t>
    </r>
    <r>
      <rPr>
        <vertAlign val="subscript"/>
        <sz val="12"/>
        <rFont val="Arial"/>
        <family val="2"/>
      </rPr>
      <t>H</t>
    </r>
    <r>
      <rPr>
        <sz val="12"/>
        <rFont val="Arial"/>
        <family val="2"/>
      </rPr>
      <t>)/(</t>
    </r>
    <r>
      <rPr>
        <i/>
        <sz val="12"/>
        <rFont val="Arial"/>
        <family val="2"/>
      </rPr>
      <t>i</t>
    </r>
    <r>
      <rPr>
        <vertAlign val="subscript"/>
        <sz val="12"/>
        <rFont val="Arial"/>
        <family val="2"/>
      </rPr>
      <t>NO3,N2</t>
    </r>
    <r>
      <rPr>
        <sz val="12"/>
        <rFont val="Arial"/>
        <family val="2"/>
      </rPr>
      <t>*</t>
    </r>
    <r>
      <rPr>
        <i/>
        <sz val="12"/>
        <rFont val="Arial"/>
        <family val="2"/>
      </rPr>
      <t>Y</t>
    </r>
    <r>
      <rPr>
        <vertAlign val="subscript"/>
        <sz val="12"/>
        <rFont val="Arial"/>
        <family val="2"/>
      </rPr>
      <t>H</t>
    </r>
    <r>
      <rPr>
        <sz val="12"/>
        <rFont val="Arial"/>
        <family val="2"/>
      </rPr>
      <t>)</t>
    </r>
  </si>
  <si>
    <r>
      <t>-(1-</t>
    </r>
    <r>
      <rPr>
        <i/>
        <sz val="12"/>
        <rFont val="Arial"/>
        <family val="2"/>
      </rPr>
      <t>Y</t>
    </r>
    <r>
      <rPr>
        <vertAlign val="subscript"/>
        <sz val="12"/>
        <rFont val="Arial"/>
        <family val="2"/>
      </rPr>
      <t>H</t>
    </r>
    <r>
      <rPr>
        <sz val="12"/>
        <rFont val="Arial"/>
        <family val="2"/>
      </rPr>
      <t>)/(</t>
    </r>
    <r>
      <rPr>
        <i/>
        <sz val="12"/>
        <rFont val="Arial"/>
        <family val="2"/>
      </rPr>
      <t>i</t>
    </r>
    <r>
      <rPr>
        <vertAlign val="subscript"/>
        <sz val="12"/>
        <rFont val="Arial"/>
        <family val="2"/>
      </rPr>
      <t>NO3,N2</t>
    </r>
    <r>
      <rPr>
        <sz val="12"/>
        <rFont val="Arial"/>
        <family val="2"/>
      </rPr>
      <t>*</t>
    </r>
    <r>
      <rPr>
        <i/>
        <sz val="12"/>
        <rFont val="Arial"/>
        <family val="2"/>
      </rPr>
      <t>Y</t>
    </r>
    <r>
      <rPr>
        <vertAlign val="subscript"/>
        <sz val="12"/>
        <rFont val="Arial"/>
        <family val="2"/>
      </rPr>
      <t>H</t>
    </r>
    <r>
      <rPr>
        <sz val="12"/>
        <rFont val="Arial"/>
        <family val="2"/>
      </rPr>
      <t>)*</t>
    </r>
    <r>
      <rPr>
        <i/>
        <sz val="12"/>
        <rFont val="Arial"/>
        <family val="2"/>
      </rPr>
      <t>i</t>
    </r>
    <r>
      <rPr>
        <vertAlign val="subscript"/>
        <sz val="12"/>
        <rFont val="Arial"/>
        <family val="2"/>
      </rPr>
      <t>Charge_SNOx</t>
    </r>
    <r>
      <rPr>
        <sz val="12"/>
        <rFont val="Arial"/>
        <family val="2"/>
      </rPr>
      <t>-</t>
    </r>
    <r>
      <rPr>
        <i/>
        <sz val="12"/>
        <rFont val="Arial"/>
        <family val="2"/>
      </rPr>
      <t>i</t>
    </r>
    <r>
      <rPr>
        <vertAlign val="subscript"/>
        <sz val="12"/>
        <rFont val="Arial"/>
        <family val="2"/>
      </rPr>
      <t>XB</t>
    </r>
    <r>
      <rPr>
        <sz val="12"/>
        <rFont val="Arial"/>
        <family val="2"/>
      </rPr>
      <t>*</t>
    </r>
    <r>
      <rPr>
        <i/>
        <sz val="12"/>
        <rFont val="Arial"/>
        <family val="2"/>
      </rPr>
      <t>i</t>
    </r>
    <r>
      <rPr>
        <vertAlign val="subscript"/>
        <sz val="12"/>
        <rFont val="Arial"/>
        <family val="2"/>
      </rPr>
      <t>Charge_SNHx</t>
    </r>
  </si>
  <si>
    <r>
      <t>(1-</t>
    </r>
    <r>
      <rPr>
        <i/>
        <sz val="12"/>
        <color indexed="10"/>
        <rFont val="Arial"/>
        <family val="2"/>
      </rPr>
      <t>Y</t>
    </r>
    <r>
      <rPr>
        <vertAlign val="subscript"/>
        <sz val="12"/>
        <color indexed="10"/>
        <rFont val="Arial"/>
        <family val="2"/>
      </rPr>
      <t>H</t>
    </r>
    <r>
      <rPr>
        <sz val="12"/>
        <color indexed="10"/>
        <rFont val="Arial"/>
        <family val="2"/>
      </rPr>
      <t>)/(</t>
    </r>
    <r>
      <rPr>
        <i/>
        <sz val="12"/>
        <color indexed="10"/>
        <rFont val="Arial"/>
        <family val="2"/>
      </rPr>
      <t>i</t>
    </r>
    <r>
      <rPr>
        <vertAlign val="subscript"/>
        <sz val="12"/>
        <color indexed="10"/>
        <rFont val="Arial"/>
        <family val="2"/>
      </rPr>
      <t>NO3,N2</t>
    </r>
    <r>
      <rPr>
        <sz val="12"/>
        <color indexed="10"/>
        <rFont val="Arial"/>
        <family val="2"/>
      </rPr>
      <t>*</t>
    </r>
    <r>
      <rPr>
        <i/>
        <sz val="12"/>
        <color indexed="10"/>
        <rFont val="Arial"/>
        <family val="2"/>
      </rPr>
      <t>Y</t>
    </r>
    <r>
      <rPr>
        <vertAlign val="subscript"/>
        <sz val="12"/>
        <color indexed="10"/>
        <rFont val="Arial"/>
        <family val="2"/>
      </rPr>
      <t>H</t>
    </r>
    <r>
      <rPr>
        <sz val="12"/>
        <color indexed="10"/>
        <rFont val="Arial"/>
        <family val="2"/>
      </rPr>
      <t>)</t>
    </r>
  </si>
  <si>
    <r>
      <t>μ</t>
    </r>
    <r>
      <rPr>
        <vertAlign val="subscript"/>
        <sz val="12"/>
        <color indexed="8"/>
        <rFont val="Arial"/>
        <family val="2"/>
      </rPr>
      <t>H</t>
    </r>
    <r>
      <rPr>
        <sz val="12"/>
        <color indexed="8"/>
        <rFont val="Arial"/>
        <family val="2"/>
      </rPr>
      <t>*[</t>
    </r>
    <r>
      <rPr>
        <i/>
        <sz val="12"/>
        <color indexed="8"/>
        <rFont val="Arial"/>
        <family val="2"/>
      </rPr>
      <t>S</t>
    </r>
    <r>
      <rPr>
        <vertAlign val="subscript"/>
        <sz val="12"/>
        <color indexed="8"/>
        <rFont val="Arial"/>
        <family val="2"/>
      </rPr>
      <t>S</t>
    </r>
    <r>
      <rPr>
        <sz val="12"/>
        <color indexed="8"/>
        <rFont val="Arial"/>
        <family val="2"/>
      </rPr>
      <t>/(</t>
    </r>
    <r>
      <rPr>
        <i/>
        <sz val="12"/>
        <color indexed="8"/>
        <rFont val="Arial"/>
        <family val="2"/>
      </rPr>
      <t>K</t>
    </r>
    <r>
      <rPr>
        <vertAlign val="subscript"/>
        <sz val="12"/>
        <color indexed="8"/>
        <rFont val="Arial"/>
        <family val="2"/>
      </rPr>
      <t>S</t>
    </r>
    <r>
      <rPr>
        <sz val="12"/>
        <color indexed="8"/>
        <rFont val="Arial"/>
        <family val="2"/>
      </rPr>
      <t>+</t>
    </r>
    <r>
      <rPr>
        <i/>
        <sz val="12"/>
        <color indexed="8"/>
        <rFont val="Arial"/>
        <family val="2"/>
      </rPr>
      <t>S</t>
    </r>
    <r>
      <rPr>
        <vertAlign val="subscript"/>
        <sz val="12"/>
        <color indexed="8"/>
        <rFont val="Arial"/>
        <family val="2"/>
      </rPr>
      <t>S</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S</t>
    </r>
    <r>
      <rPr>
        <vertAlign val="subscript"/>
        <sz val="12"/>
        <color indexed="8"/>
        <rFont val="Arial"/>
        <family val="2"/>
      </rPr>
      <t>NO</t>
    </r>
    <r>
      <rPr>
        <sz val="12"/>
        <color indexed="8"/>
        <rFont val="Arial"/>
        <family val="2"/>
      </rPr>
      <t>/(</t>
    </r>
    <r>
      <rPr>
        <i/>
        <sz val="12"/>
        <color indexed="8"/>
        <rFont val="Arial"/>
        <family val="2"/>
      </rPr>
      <t>K</t>
    </r>
    <r>
      <rPr>
        <vertAlign val="subscript"/>
        <sz val="12"/>
        <color indexed="8"/>
        <rFont val="Arial"/>
        <family val="2"/>
      </rPr>
      <t>NO</t>
    </r>
    <r>
      <rPr>
        <sz val="12"/>
        <color indexed="8"/>
        <rFont val="Arial"/>
        <family val="2"/>
      </rPr>
      <t>+</t>
    </r>
    <r>
      <rPr>
        <i/>
        <sz val="12"/>
        <color indexed="8"/>
        <rFont val="Arial"/>
        <family val="2"/>
      </rPr>
      <t>S</t>
    </r>
    <r>
      <rPr>
        <vertAlign val="subscript"/>
        <sz val="12"/>
        <color indexed="8"/>
        <rFont val="Arial"/>
        <family val="2"/>
      </rPr>
      <t>NO</t>
    </r>
    <r>
      <rPr>
        <sz val="12"/>
        <color indexed="8"/>
        <rFont val="Arial"/>
        <family val="2"/>
      </rPr>
      <t>)]*</t>
    </r>
    <r>
      <rPr>
        <sz val="12"/>
        <color indexed="10"/>
        <rFont val="Arial"/>
        <family val="2"/>
      </rPr>
      <t>[</t>
    </r>
    <r>
      <rPr>
        <i/>
        <sz val="12"/>
        <color indexed="10"/>
        <rFont val="Arial"/>
        <family val="2"/>
      </rPr>
      <t>S</t>
    </r>
    <r>
      <rPr>
        <vertAlign val="subscript"/>
        <sz val="12"/>
        <color indexed="10"/>
        <rFont val="Arial"/>
        <family val="2"/>
      </rPr>
      <t>NH</t>
    </r>
    <r>
      <rPr>
        <sz val="12"/>
        <color indexed="10"/>
        <rFont val="Arial"/>
        <family val="2"/>
      </rPr>
      <t>/(</t>
    </r>
    <r>
      <rPr>
        <i/>
        <sz val="12"/>
        <color indexed="10"/>
        <rFont val="Arial"/>
        <family val="2"/>
      </rPr>
      <t>K</t>
    </r>
    <r>
      <rPr>
        <vertAlign val="subscript"/>
        <sz val="12"/>
        <color indexed="10"/>
        <rFont val="Arial"/>
        <family val="2"/>
      </rPr>
      <t>NH,H</t>
    </r>
    <r>
      <rPr>
        <sz val="12"/>
        <color indexed="10"/>
        <rFont val="Arial"/>
        <family val="2"/>
      </rPr>
      <t>+</t>
    </r>
    <r>
      <rPr>
        <i/>
        <sz val="12"/>
        <color indexed="10"/>
        <rFont val="Arial"/>
        <family val="2"/>
      </rPr>
      <t>S</t>
    </r>
    <r>
      <rPr>
        <vertAlign val="subscript"/>
        <sz val="12"/>
        <color indexed="10"/>
        <rFont val="Arial"/>
        <family val="2"/>
      </rPr>
      <t>NH</t>
    </r>
    <r>
      <rPr>
        <sz val="12"/>
        <color indexed="10"/>
        <rFont val="Arial"/>
        <family val="2"/>
      </rPr>
      <t>)]</t>
    </r>
    <r>
      <rPr>
        <sz val="12"/>
        <color indexed="8"/>
        <rFont val="Arial"/>
        <family val="2"/>
      </rPr>
      <t>*</t>
    </r>
    <r>
      <rPr>
        <i/>
        <sz val="12"/>
        <color indexed="8"/>
        <rFont val="Arial"/>
        <family val="2"/>
      </rPr>
      <t>η</t>
    </r>
    <r>
      <rPr>
        <vertAlign val="subscript"/>
        <sz val="12"/>
        <color indexed="8"/>
        <rFont val="Arial"/>
        <family val="2"/>
      </rPr>
      <t>g</t>
    </r>
    <r>
      <rPr>
        <sz val="12"/>
        <color indexed="8"/>
        <rFont val="Arial"/>
        <family val="2"/>
      </rPr>
      <t>*</t>
    </r>
    <r>
      <rPr>
        <i/>
        <sz val="12"/>
        <color indexed="8"/>
        <rFont val="Arial"/>
        <family val="2"/>
      </rPr>
      <t>X</t>
    </r>
    <r>
      <rPr>
        <vertAlign val="subscript"/>
        <sz val="12"/>
        <color indexed="8"/>
        <rFont val="Arial"/>
        <family val="2"/>
      </rPr>
      <t>B,H</t>
    </r>
  </si>
  <si>
    <t>Dissolved oxygen</t>
  </si>
  <si>
    <r>
      <t>S</t>
    </r>
    <r>
      <rPr>
        <vertAlign val="subscript"/>
        <sz val="12"/>
        <rFont val="Arial"/>
        <family val="2"/>
      </rPr>
      <t>O</t>
    </r>
  </si>
  <si>
    <r>
      <t>S</t>
    </r>
    <r>
      <rPr>
        <vertAlign val="subscript"/>
        <sz val="12"/>
        <rFont val="Arial"/>
        <family val="2"/>
      </rPr>
      <t>O2</t>
    </r>
  </si>
  <si>
    <r>
      <t>- g COD.m</t>
    </r>
    <r>
      <rPr>
        <vertAlign val="superscript"/>
        <sz val="8"/>
        <rFont val="Arial"/>
        <family val="2"/>
      </rPr>
      <t>-3</t>
    </r>
  </si>
  <si>
    <t>Aerobic growth of autotrophs</t>
  </si>
  <si>
    <r>
      <t>-(-</t>
    </r>
    <r>
      <rPr>
        <i/>
        <sz val="12"/>
        <rFont val="Arial"/>
        <family val="2"/>
      </rPr>
      <t>i</t>
    </r>
    <r>
      <rPr>
        <vertAlign val="subscript"/>
        <sz val="12"/>
        <rFont val="Arial"/>
        <family val="2"/>
      </rPr>
      <t>COD_NO3</t>
    </r>
    <r>
      <rPr>
        <sz val="12"/>
        <rFont val="Arial"/>
        <family val="2"/>
      </rPr>
      <t>-</t>
    </r>
    <r>
      <rPr>
        <i/>
        <sz val="12"/>
        <rFont val="Arial"/>
        <family val="2"/>
      </rPr>
      <t>Y</t>
    </r>
    <r>
      <rPr>
        <vertAlign val="subscript"/>
        <sz val="12"/>
        <rFont val="Arial"/>
        <family val="2"/>
      </rPr>
      <t>A</t>
    </r>
    <r>
      <rPr>
        <sz val="12"/>
        <rFont val="Arial"/>
        <family val="2"/>
      </rPr>
      <t>)/</t>
    </r>
    <r>
      <rPr>
        <i/>
        <sz val="12"/>
        <rFont val="Arial"/>
        <family val="2"/>
      </rPr>
      <t>Y</t>
    </r>
    <r>
      <rPr>
        <vertAlign val="subscript"/>
        <sz val="12"/>
        <rFont val="Arial"/>
        <family val="2"/>
      </rPr>
      <t>A</t>
    </r>
  </si>
  <si>
    <r>
      <t>1/</t>
    </r>
    <r>
      <rPr>
        <i/>
        <sz val="12"/>
        <rFont val="Arial"/>
        <family val="2"/>
      </rPr>
      <t>Y</t>
    </r>
    <r>
      <rPr>
        <vertAlign val="subscript"/>
        <sz val="12"/>
        <rFont val="Arial"/>
        <family val="2"/>
      </rPr>
      <t>A</t>
    </r>
  </si>
  <si>
    <r>
      <t>-</t>
    </r>
    <r>
      <rPr>
        <i/>
        <sz val="12"/>
        <rFont val="Arial"/>
        <family val="2"/>
      </rPr>
      <t>i</t>
    </r>
    <r>
      <rPr>
        <vertAlign val="subscript"/>
        <sz val="12"/>
        <rFont val="Arial"/>
        <family val="2"/>
      </rPr>
      <t>XB</t>
    </r>
    <r>
      <rPr>
        <sz val="12"/>
        <rFont val="Arial"/>
        <family val="2"/>
      </rPr>
      <t>-1/</t>
    </r>
    <r>
      <rPr>
        <i/>
        <sz val="12"/>
        <rFont val="Arial"/>
        <family val="2"/>
      </rPr>
      <t>Y</t>
    </r>
    <r>
      <rPr>
        <vertAlign val="subscript"/>
        <sz val="12"/>
        <rFont val="Arial"/>
        <family val="2"/>
      </rPr>
      <t>A</t>
    </r>
  </si>
  <si>
    <r>
      <t>-(</t>
    </r>
    <r>
      <rPr>
        <i/>
        <sz val="12"/>
        <rFont val="Arial"/>
        <family val="2"/>
      </rPr>
      <t>i</t>
    </r>
    <r>
      <rPr>
        <vertAlign val="subscript"/>
        <sz val="12"/>
        <rFont val="Arial"/>
        <family val="2"/>
      </rPr>
      <t>XB</t>
    </r>
    <r>
      <rPr>
        <sz val="12"/>
        <rFont val="Arial"/>
        <family val="2"/>
      </rPr>
      <t>+1/</t>
    </r>
    <r>
      <rPr>
        <i/>
        <sz val="12"/>
        <rFont val="Arial"/>
        <family val="2"/>
      </rPr>
      <t>Y</t>
    </r>
    <r>
      <rPr>
        <vertAlign val="subscript"/>
        <sz val="12"/>
        <rFont val="Arial"/>
        <family val="2"/>
      </rPr>
      <t>A</t>
    </r>
    <r>
      <rPr>
        <sz val="12"/>
        <rFont val="Arial"/>
        <family val="2"/>
      </rPr>
      <t>)*</t>
    </r>
    <r>
      <rPr>
        <i/>
        <sz val="12"/>
        <rFont val="Arial"/>
        <family val="2"/>
      </rPr>
      <t>i</t>
    </r>
    <r>
      <rPr>
        <vertAlign val="subscript"/>
        <sz val="12"/>
        <rFont val="Arial"/>
        <family val="2"/>
      </rPr>
      <t>Charge_SNHx</t>
    </r>
    <r>
      <rPr>
        <sz val="12"/>
        <rFont val="Arial"/>
        <family val="2"/>
      </rPr>
      <t>+(1/</t>
    </r>
    <r>
      <rPr>
        <i/>
        <sz val="12"/>
        <rFont val="Arial"/>
        <family val="2"/>
      </rPr>
      <t>Y</t>
    </r>
    <r>
      <rPr>
        <vertAlign val="subscript"/>
        <sz val="12"/>
        <rFont val="Arial"/>
        <family val="2"/>
      </rPr>
      <t>A</t>
    </r>
    <r>
      <rPr>
        <sz val="12"/>
        <rFont val="Arial"/>
        <family val="2"/>
      </rPr>
      <t>)*</t>
    </r>
    <r>
      <rPr>
        <i/>
        <sz val="12"/>
        <rFont val="Arial"/>
        <family val="2"/>
      </rPr>
      <t>i</t>
    </r>
    <r>
      <rPr>
        <vertAlign val="subscript"/>
        <sz val="12"/>
        <rFont val="Arial"/>
        <family val="2"/>
      </rPr>
      <t>Charge_SNOx</t>
    </r>
  </si>
  <si>
    <r>
      <t>μ</t>
    </r>
    <r>
      <rPr>
        <vertAlign val="subscript"/>
        <sz val="12"/>
        <color indexed="8"/>
        <rFont val="Arial"/>
        <family val="2"/>
      </rPr>
      <t>A</t>
    </r>
    <r>
      <rPr>
        <sz val="12"/>
        <color indexed="8"/>
        <rFont val="Arial"/>
        <family val="2"/>
      </rPr>
      <t>*[</t>
    </r>
    <r>
      <rPr>
        <i/>
        <sz val="12"/>
        <color indexed="8"/>
        <rFont val="Arial"/>
        <family val="2"/>
      </rPr>
      <t>S</t>
    </r>
    <r>
      <rPr>
        <vertAlign val="subscript"/>
        <sz val="12"/>
        <color indexed="8"/>
        <rFont val="Arial"/>
        <family val="2"/>
      </rPr>
      <t>NH</t>
    </r>
    <r>
      <rPr>
        <sz val="12"/>
        <color indexed="8"/>
        <rFont val="Arial"/>
        <family val="2"/>
      </rPr>
      <t>/(</t>
    </r>
    <r>
      <rPr>
        <i/>
        <sz val="12"/>
        <color indexed="8"/>
        <rFont val="Arial"/>
        <family val="2"/>
      </rPr>
      <t>K</t>
    </r>
    <r>
      <rPr>
        <vertAlign val="subscript"/>
        <sz val="12"/>
        <color indexed="8"/>
        <rFont val="Arial"/>
        <family val="2"/>
      </rPr>
      <t>NH</t>
    </r>
    <r>
      <rPr>
        <sz val="12"/>
        <color indexed="8"/>
        <rFont val="Arial"/>
        <family val="2"/>
      </rPr>
      <t>+</t>
    </r>
    <r>
      <rPr>
        <i/>
        <sz val="12"/>
        <color indexed="8"/>
        <rFont val="Arial"/>
        <family val="2"/>
      </rPr>
      <t>S</t>
    </r>
    <r>
      <rPr>
        <vertAlign val="subscript"/>
        <sz val="12"/>
        <color indexed="8"/>
        <rFont val="Arial"/>
        <family val="2"/>
      </rPr>
      <t>NH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K</t>
    </r>
    <r>
      <rPr>
        <vertAlign val="subscript"/>
        <sz val="12"/>
        <color indexed="8"/>
        <rFont val="Arial"/>
        <family val="2"/>
      </rPr>
      <t>O,A</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X</t>
    </r>
    <r>
      <rPr>
        <vertAlign val="subscript"/>
        <sz val="12"/>
        <color indexed="8"/>
        <rFont val="Arial"/>
        <family val="2"/>
      </rPr>
      <t>B,A</t>
    </r>
  </si>
  <si>
    <t>Particulate biodegradable organics</t>
  </si>
  <si>
    <r>
      <t>X</t>
    </r>
    <r>
      <rPr>
        <vertAlign val="subscript"/>
        <sz val="12"/>
        <rFont val="Arial"/>
        <family val="2"/>
      </rPr>
      <t>S</t>
    </r>
  </si>
  <si>
    <r>
      <t>XC</t>
    </r>
    <r>
      <rPr>
        <vertAlign val="subscript"/>
        <sz val="12"/>
        <rFont val="Arial"/>
        <family val="2"/>
      </rPr>
      <t>B</t>
    </r>
  </si>
  <si>
    <t>Decay of heterotrophs</t>
  </si>
  <si>
    <r>
      <t>1-</t>
    </r>
    <r>
      <rPr>
        <i/>
        <sz val="12"/>
        <rFont val="Arial"/>
        <family val="2"/>
      </rPr>
      <t>f</t>
    </r>
    <r>
      <rPr>
        <vertAlign val="subscript"/>
        <sz val="12"/>
        <rFont val="Arial"/>
        <family val="2"/>
      </rPr>
      <t>P</t>
    </r>
  </si>
  <si>
    <r>
      <t>f</t>
    </r>
    <r>
      <rPr>
        <vertAlign val="subscript"/>
        <sz val="12"/>
        <rFont val="Arial"/>
        <family val="2"/>
      </rPr>
      <t>P</t>
    </r>
  </si>
  <si>
    <r>
      <t>i</t>
    </r>
    <r>
      <rPr>
        <vertAlign val="subscript"/>
        <sz val="12"/>
        <rFont val="Arial"/>
        <family val="2"/>
      </rPr>
      <t>XB</t>
    </r>
    <r>
      <rPr>
        <sz val="12"/>
        <rFont val="Arial"/>
        <family val="2"/>
      </rPr>
      <t>-</t>
    </r>
    <r>
      <rPr>
        <i/>
        <sz val="12"/>
        <rFont val="Arial"/>
        <family val="2"/>
      </rPr>
      <t>f</t>
    </r>
    <r>
      <rPr>
        <vertAlign val="subscript"/>
        <sz val="12"/>
        <rFont val="Arial"/>
        <family val="2"/>
      </rPr>
      <t>P</t>
    </r>
    <r>
      <rPr>
        <sz val="12"/>
        <rFont val="Arial"/>
        <family val="2"/>
      </rPr>
      <t>*</t>
    </r>
    <r>
      <rPr>
        <i/>
        <sz val="12"/>
        <rFont val="Arial"/>
        <family val="2"/>
      </rPr>
      <t>i</t>
    </r>
    <r>
      <rPr>
        <vertAlign val="subscript"/>
        <sz val="12"/>
        <rFont val="Arial"/>
        <family val="2"/>
      </rPr>
      <t>XP</t>
    </r>
  </si>
  <si>
    <r>
      <t>b</t>
    </r>
    <r>
      <rPr>
        <vertAlign val="subscript"/>
        <sz val="12"/>
        <color indexed="8"/>
        <rFont val="Arial"/>
        <family val="2"/>
      </rPr>
      <t>H</t>
    </r>
    <r>
      <rPr>
        <sz val="12"/>
        <color indexed="8"/>
        <rFont val="Arial"/>
        <family val="2"/>
      </rPr>
      <t>*</t>
    </r>
    <r>
      <rPr>
        <i/>
        <sz val="12"/>
        <color indexed="8"/>
        <rFont val="Arial"/>
        <family val="2"/>
      </rPr>
      <t>X</t>
    </r>
    <r>
      <rPr>
        <vertAlign val="subscript"/>
        <sz val="12"/>
        <color indexed="8"/>
        <rFont val="Arial"/>
        <family val="2"/>
      </rPr>
      <t>B,H</t>
    </r>
  </si>
  <si>
    <t>Particulate undegradable organics from the influent</t>
  </si>
  <si>
    <r>
      <t>X</t>
    </r>
    <r>
      <rPr>
        <vertAlign val="subscript"/>
        <sz val="12"/>
        <rFont val="Arial"/>
        <family val="2"/>
      </rPr>
      <t>I</t>
    </r>
  </si>
  <si>
    <r>
      <t>X</t>
    </r>
    <r>
      <rPr>
        <vertAlign val="subscript"/>
        <sz val="12"/>
        <rFont val="Arial"/>
        <family val="2"/>
      </rPr>
      <t>U,Inf</t>
    </r>
  </si>
  <si>
    <t>Decay of autotrophs</t>
  </si>
  <si>
    <r>
      <t>b</t>
    </r>
    <r>
      <rPr>
        <vertAlign val="subscript"/>
        <sz val="12"/>
        <color indexed="8"/>
        <rFont val="Arial"/>
        <family val="2"/>
      </rPr>
      <t>A</t>
    </r>
    <r>
      <rPr>
        <sz val="12"/>
        <color indexed="8"/>
        <rFont val="Arial"/>
        <family val="2"/>
      </rPr>
      <t>*</t>
    </r>
    <r>
      <rPr>
        <i/>
        <sz val="12"/>
        <color indexed="8"/>
        <rFont val="Arial"/>
        <family val="2"/>
      </rPr>
      <t>X</t>
    </r>
    <r>
      <rPr>
        <vertAlign val="subscript"/>
        <sz val="12"/>
        <color indexed="8"/>
        <rFont val="Arial"/>
        <family val="2"/>
      </rPr>
      <t>B,A</t>
    </r>
  </si>
  <si>
    <t>Particulate undegradable endogenous products</t>
  </si>
  <si>
    <r>
      <t>X</t>
    </r>
    <r>
      <rPr>
        <vertAlign val="subscript"/>
        <sz val="12"/>
        <rFont val="Arial"/>
        <family val="2"/>
      </rPr>
      <t>P</t>
    </r>
  </si>
  <si>
    <r>
      <t>X</t>
    </r>
    <r>
      <rPr>
        <vertAlign val="subscript"/>
        <sz val="12"/>
        <rFont val="Arial"/>
        <family val="2"/>
      </rPr>
      <t>U,E</t>
    </r>
  </si>
  <si>
    <t>Ammonification of soluble organic Nitrogen</t>
  </si>
  <si>
    <r>
      <t>i</t>
    </r>
    <r>
      <rPr>
        <vertAlign val="subscript"/>
        <sz val="12"/>
        <rFont val="Arial"/>
        <family val="2"/>
      </rPr>
      <t>Charge_SNHx</t>
    </r>
  </si>
  <si>
    <r>
      <t>k</t>
    </r>
    <r>
      <rPr>
        <vertAlign val="subscript"/>
        <sz val="12"/>
        <color indexed="8"/>
        <rFont val="Arial"/>
        <family val="2"/>
      </rPr>
      <t>a</t>
    </r>
    <r>
      <rPr>
        <sz val="12"/>
        <color indexed="8"/>
        <rFont val="Arial"/>
        <family val="2"/>
      </rPr>
      <t>*</t>
    </r>
    <r>
      <rPr>
        <i/>
        <sz val="12"/>
        <color indexed="8"/>
        <rFont val="Arial"/>
        <family val="2"/>
      </rPr>
      <t>S</t>
    </r>
    <r>
      <rPr>
        <vertAlign val="subscript"/>
        <sz val="12"/>
        <color indexed="8"/>
        <rFont val="Arial"/>
        <family val="2"/>
      </rPr>
      <t>ND</t>
    </r>
    <r>
      <rPr>
        <sz val="12"/>
        <color indexed="8"/>
        <rFont val="Arial"/>
        <family val="2"/>
      </rPr>
      <t>*</t>
    </r>
    <r>
      <rPr>
        <i/>
        <sz val="12"/>
        <color indexed="8"/>
        <rFont val="Arial"/>
        <family val="2"/>
      </rPr>
      <t>X</t>
    </r>
    <r>
      <rPr>
        <vertAlign val="subscript"/>
        <sz val="12"/>
        <color indexed="8"/>
        <rFont val="Arial"/>
        <family val="2"/>
      </rPr>
      <t>B,H</t>
    </r>
  </si>
  <si>
    <r>
      <t>Ammonia (NH</t>
    </r>
    <r>
      <rPr>
        <vertAlign val="subscript"/>
        <sz val="11"/>
        <color indexed="8"/>
        <rFont val="Arial"/>
        <family val="2"/>
      </rPr>
      <t xml:space="preserve">4 </t>
    </r>
    <r>
      <rPr>
        <sz val="11"/>
        <color indexed="8"/>
        <rFont val="Arial"/>
        <family val="2"/>
      </rPr>
      <t>+ NH</t>
    </r>
    <r>
      <rPr>
        <vertAlign val="subscript"/>
        <sz val="11"/>
        <color indexed="8"/>
        <rFont val="Arial"/>
        <family val="2"/>
      </rPr>
      <t>3</t>
    </r>
    <r>
      <rPr>
        <sz val="11"/>
        <color indexed="8"/>
        <rFont val="Arial"/>
        <family val="2"/>
      </rPr>
      <t>)</t>
    </r>
  </si>
  <si>
    <r>
      <t>S</t>
    </r>
    <r>
      <rPr>
        <vertAlign val="subscript"/>
        <sz val="12"/>
        <rFont val="Arial"/>
        <family val="2"/>
      </rPr>
      <t>NH</t>
    </r>
  </si>
  <si>
    <r>
      <t>S</t>
    </r>
    <r>
      <rPr>
        <vertAlign val="subscript"/>
        <sz val="12"/>
        <rFont val="Arial"/>
        <family val="2"/>
      </rPr>
      <t>NHx</t>
    </r>
  </si>
  <si>
    <r>
      <t>g N.m</t>
    </r>
    <r>
      <rPr>
        <vertAlign val="superscript"/>
        <sz val="8"/>
        <rFont val="Arial"/>
        <family val="2"/>
      </rPr>
      <t>-3</t>
    </r>
  </si>
  <si>
    <t>Hydrolysis of entrapped organics</t>
  </si>
  <si>
    <r>
      <t>k</t>
    </r>
    <r>
      <rPr>
        <vertAlign val="subscript"/>
        <sz val="12"/>
        <color indexed="8"/>
        <rFont val="Arial"/>
        <family val="2"/>
      </rPr>
      <t>H</t>
    </r>
    <r>
      <rPr>
        <sz val="12"/>
        <color indexed="8"/>
        <rFont val="Arial"/>
        <family val="2"/>
      </rPr>
      <t>*[(</t>
    </r>
    <r>
      <rPr>
        <i/>
        <sz val="12"/>
        <color indexed="8"/>
        <rFont val="Arial"/>
        <family val="2"/>
      </rPr>
      <t>X</t>
    </r>
    <r>
      <rPr>
        <vertAlign val="subscript"/>
        <sz val="12"/>
        <color indexed="8"/>
        <rFont val="Arial"/>
        <family val="2"/>
      </rPr>
      <t>S</t>
    </r>
    <r>
      <rPr>
        <sz val="12"/>
        <color indexed="8"/>
        <rFont val="Arial"/>
        <family val="2"/>
      </rPr>
      <t>/</t>
    </r>
    <r>
      <rPr>
        <i/>
        <sz val="12"/>
        <color indexed="8"/>
        <rFont val="Arial"/>
        <family val="2"/>
      </rPr>
      <t>X</t>
    </r>
    <r>
      <rPr>
        <vertAlign val="subscript"/>
        <sz val="12"/>
        <color indexed="8"/>
        <rFont val="Arial"/>
        <family val="2"/>
      </rPr>
      <t>B,H</t>
    </r>
    <r>
      <rPr>
        <sz val="12"/>
        <color indexed="8"/>
        <rFont val="Arial"/>
        <family val="2"/>
      </rPr>
      <t>)/(</t>
    </r>
    <r>
      <rPr>
        <i/>
        <sz val="12"/>
        <color indexed="8"/>
        <rFont val="Arial"/>
        <family val="2"/>
      </rPr>
      <t>K</t>
    </r>
    <r>
      <rPr>
        <vertAlign val="subscript"/>
        <sz val="12"/>
        <color indexed="8"/>
        <rFont val="Arial"/>
        <family val="2"/>
      </rPr>
      <t>X</t>
    </r>
    <r>
      <rPr>
        <sz val="12"/>
        <color indexed="8"/>
        <rFont val="Arial"/>
        <family val="2"/>
      </rPr>
      <t>+</t>
    </r>
    <r>
      <rPr>
        <i/>
        <sz val="12"/>
        <color indexed="8"/>
        <rFont val="Arial"/>
        <family val="2"/>
      </rPr>
      <t>X</t>
    </r>
    <r>
      <rPr>
        <vertAlign val="subscript"/>
        <sz val="12"/>
        <color indexed="8"/>
        <rFont val="Arial"/>
        <family val="2"/>
      </rPr>
      <t>S</t>
    </r>
    <r>
      <rPr>
        <sz val="12"/>
        <color indexed="8"/>
        <rFont val="Arial"/>
        <family val="2"/>
      </rPr>
      <t>/</t>
    </r>
    <r>
      <rPr>
        <i/>
        <sz val="12"/>
        <color indexed="8"/>
        <rFont val="Arial"/>
        <family val="2"/>
      </rPr>
      <t>X</t>
    </r>
    <r>
      <rPr>
        <vertAlign val="subscript"/>
        <sz val="12"/>
        <color indexed="8"/>
        <rFont val="Arial"/>
        <family val="2"/>
      </rPr>
      <t>B,H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η</t>
    </r>
    <r>
      <rPr>
        <vertAlign val="subscript"/>
        <sz val="12"/>
        <color indexed="8"/>
        <rFont val="Arial"/>
        <family val="2"/>
      </rPr>
      <t>h</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S</t>
    </r>
    <r>
      <rPr>
        <vertAlign val="subscript"/>
        <sz val="12"/>
        <color indexed="8"/>
        <rFont val="Arial"/>
        <family val="2"/>
      </rPr>
      <t>NO</t>
    </r>
    <r>
      <rPr>
        <sz val="12"/>
        <color indexed="8"/>
        <rFont val="Arial"/>
        <family val="2"/>
      </rPr>
      <t>/(</t>
    </r>
    <r>
      <rPr>
        <i/>
        <sz val="12"/>
        <color indexed="8"/>
        <rFont val="Arial"/>
        <family val="2"/>
      </rPr>
      <t>K</t>
    </r>
    <r>
      <rPr>
        <vertAlign val="subscript"/>
        <sz val="12"/>
        <color indexed="8"/>
        <rFont val="Arial"/>
        <family val="2"/>
      </rPr>
      <t>NO</t>
    </r>
    <r>
      <rPr>
        <sz val="12"/>
        <color indexed="8"/>
        <rFont val="Arial"/>
        <family val="2"/>
      </rPr>
      <t>+</t>
    </r>
    <r>
      <rPr>
        <i/>
        <sz val="12"/>
        <color indexed="8"/>
        <rFont val="Arial"/>
        <family val="2"/>
      </rPr>
      <t>S</t>
    </r>
    <r>
      <rPr>
        <vertAlign val="subscript"/>
        <sz val="12"/>
        <color indexed="8"/>
        <rFont val="Arial"/>
        <family val="2"/>
      </rPr>
      <t>NO</t>
    </r>
    <r>
      <rPr>
        <sz val="12"/>
        <color indexed="8"/>
        <rFont val="Arial"/>
        <family val="2"/>
      </rPr>
      <t>)])*</t>
    </r>
    <r>
      <rPr>
        <i/>
        <sz val="12"/>
        <color indexed="8"/>
        <rFont val="Arial"/>
        <family val="2"/>
      </rPr>
      <t>X</t>
    </r>
    <r>
      <rPr>
        <vertAlign val="subscript"/>
        <sz val="12"/>
        <color indexed="8"/>
        <rFont val="Arial"/>
        <family val="2"/>
      </rPr>
      <t>B,H</t>
    </r>
  </si>
  <si>
    <r>
      <t>Nitrate and nitrite (NO</t>
    </r>
    <r>
      <rPr>
        <vertAlign val="subscript"/>
        <sz val="11"/>
        <rFont val="Arial"/>
        <family val="2"/>
      </rPr>
      <t>3</t>
    </r>
    <r>
      <rPr>
        <sz val="11"/>
        <rFont val="Arial"/>
        <family val="2"/>
      </rPr>
      <t xml:space="preserve"> + NO</t>
    </r>
    <r>
      <rPr>
        <vertAlign val="subscript"/>
        <sz val="11"/>
        <rFont val="Arial"/>
        <family val="2"/>
      </rPr>
      <t>2</t>
    </r>
    <r>
      <rPr>
        <sz val="11"/>
        <rFont val="Arial"/>
        <family val="2"/>
      </rPr>
      <t>) (considered to be NO</t>
    </r>
    <r>
      <rPr>
        <vertAlign val="subscript"/>
        <sz val="11"/>
        <rFont val="Arial"/>
        <family val="2"/>
      </rPr>
      <t>3</t>
    </r>
    <r>
      <rPr>
        <sz val="11"/>
        <rFont val="Arial"/>
        <family val="2"/>
      </rPr>
      <t xml:space="preserve"> only for stoichiometry)</t>
    </r>
  </si>
  <si>
    <r>
      <t>S</t>
    </r>
    <r>
      <rPr>
        <vertAlign val="subscript"/>
        <sz val="12"/>
        <rFont val="Arial"/>
        <family val="2"/>
      </rPr>
      <t>NO</t>
    </r>
  </si>
  <si>
    <r>
      <t>S</t>
    </r>
    <r>
      <rPr>
        <vertAlign val="subscript"/>
        <sz val="12"/>
        <rFont val="Arial"/>
        <family val="2"/>
      </rPr>
      <t>NOx</t>
    </r>
  </si>
  <si>
    <t>Hydrolysis of entrapped organic nitrogen</t>
  </si>
  <si>
    <r>
      <t>k</t>
    </r>
    <r>
      <rPr>
        <vertAlign val="subscript"/>
        <sz val="12"/>
        <color indexed="8"/>
        <rFont val="Arial"/>
        <family val="2"/>
      </rPr>
      <t>H</t>
    </r>
    <r>
      <rPr>
        <sz val="12"/>
        <color indexed="8"/>
        <rFont val="Arial"/>
        <family val="2"/>
      </rPr>
      <t>*(</t>
    </r>
    <r>
      <rPr>
        <i/>
        <sz val="12"/>
        <color indexed="8"/>
        <rFont val="Arial"/>
        <family val="2"/>
      </rPr>
      <t>X</t>
    </r>
    <r>
      <rPr>
        <vertAlign val="subscript"/>
        <sz val="12"/>
        <color indexed="8"/>
        <rFont val="Arial"/>
        <family val="2"/>
      </rPr>
      <t>ND</t>
    </r>
    <r>
      <rPr>
        <sz val="12"/>
        <color indexed="8"/>
        <rFont val="Arial"/>
        <family val="2"/>
      </rPr>
      <t>/</t>
    </r>
    <r>
      <rPr>
        <i/>
        <sz val="12"/>
        <color indexed="8"/>
        <rFont val="Arial"/>
        <family val="2"/>
      </rPr>
      <t>X</t>
    </r>
    <r>
      <rPr>
        <vertAlign val="subscript"/>
        <sz val="12"/>
        <color indexed="8"/>
        <rFont val="Arial"/>
        <family val="2"/>
      </rPr>
      <t>S</t>
    </r>
    <r>
      <rPr>
        <sz val="12"/>
        <color indexed="8"/>
        <rFont val="Arial"/>
        <family val="2"/>
      </rPr>
      <t>)*[(</t>
    </r>
    <r>
      <rPr>
        <i/>
        <sz val="12"/>
        <color indexed="8"/>
        <rFont val="Arial"/>
        <family val="2"/>
      </rPr>
      <t>X</t>
    </r>
    <r>
      <rPr>
        <vertAlign val="subscript"/>
        <sz val="12"/>
        <color indexed="8"/>
        <rFont val="Arial"/>
        <family val="2"/>
      </rPr>
      <t>S</t>
    </r>
    <r>
      <rPr>
        <sz val="12"/>
        <color indexed="8"/>
        <rFont val="Arial"/>
        <family val="2"/>
      </rPr>
      <t>/</t>
    </r>
    <r>
      <rPr>
        <i/>
        <sz val="12"/>
        <color indexed="8"/>
        <rFont val="Arial"/>
        <family val="2"/>
      </rPr>
      <t>X</t>
    </r>
    <r>
      <rPr>
        <vertAlign val="subscript"/>
        <sz val="12"/>
        <color indexed="8"/>
        <rFont val="Arial"/>
        <family val="2"/>
      </rPr>
      <t>B,H</t>
    </r>
    <r>
      <rPr>
        <sz val="12"/>
        <color indexed="8"/>
        <rFont val="Arial"/>
        <family val="2"/>
      </rPr>
      <t>)/(</t>
    </r>
    <r>
      <rPr>
        <i/>
        <sz val="12"/>
        <color indexed="8"/>
        <rFont val="Arial"/>
        <family val="2"/>
      </rPr>
      <t>K</t>
    </r>
    <r>
      <rPr>
        <vertAlign val="subscript"/>
        <sz val="12"/>
        <color indexed="8"/>
        <rFont val="Arial"/>
        <family val="2"/>
      </rPr>
      <t>X</t>
    </r>
    <r>
      <rPr>
        <sz val="12"/>
        <color indexed="8"/>
        <rFont val="Arial"/>
        <family val="2"/>
      </rPr>
      <t>+</t>
    </r>
    <r>
      <rPr>
        <i/>
        <sz val="12"/>
        <color indexed="8"/>
        <rFont val="Arial"/>
        <family val="2"/>
      </rPr>
      <t>X</t>
    </r>
    <r>
      <rPr>
        <vertAlign val="subscript"/>
        <sz val="12"/>
        <color indexed="8"/>
        <rFont val="Arial"/>
        <family val="2"/>
      </rPr>
      <t>S</t>
    </r>
    <r>
      <rPr>
        <sz val="12"/>
        <color indexed="8"/>
        <rFont val="Arial"/>
        <family val="2"/>
      </rPr>
      <t>/</t>
    </r>
    <r>
      <rPr>
        <i/>
        <sz val="12"/>
        <color indexed="8"/>
        <rFont val="Arial"/>
        <family val="2"/>
      </rPr>
      <t>X</t>
    </r>
    <r>
      <rPr>
        <vertAlign val="subscript"/>
        <sz val="12"/>
        <color indexed="8"/>
        <rFont val="Arial"/>
        <family val="2"/>
      </rPr>
      <t>B,H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η</t>
    </r>
    <r>
      <rPr>
        <vertAlign val="subscript"/>
        <sz val="12"/>
        <color indexed="8"/>
        <rFont val="Arial"/>
        <family val="2"/>
      </rPr>
      <t>h</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K</t>
    </r>
    <r>
      <rPr>
        <vertAlign val="subscript"/>
        <sz val="12"/>
        <color indexed="8"/>
        <rFont val="Arial"/>
        <family val="2"/>
      </rPr>
      <t>O,H</t>
    </r>
    <r>
      <rPr>
        <sz val="12"/>
        <color indexed="8"/>
        <rFont val="Arial"/>
        <family val="2"/>
      </rPr>
      <t>+</t>
    </r>
    <r>
      <rPr>
        <i/>
        <sz val="12"/>
        <color indexed="8"/>
        <rFont val="Arial"/>
        <family val="2"/>
      </rPr>
      <t>S</t>
    </r>
    <r>
      <rPr>
        <vertAlign val="subscript"/>
        <sz val="12"/>
        <color indexed="8"/>
        <rFont val="Arial"/>
        <family val="2"/>
      </rPr>
      <t>O</t>
    </r>
    <r>
      <rPr>
        <sz val="12"/>
        <color indexed="8"/>
        <rFont val="Arial"/>
        <family val="2"/>
      </rPr>
      <t>)]*[</t>
    </r>
    <r>
      <rPr>
        <i/>
        <sz val="12"/>
        <color indexed="8"/>
        <rFont val="Arial"/>
        <family val="2"/>
      </rPr>
      <t>S</t>
    </r>
    <r>
      <rPr>
        <vertAlign val="subscript"/>
        <sz val="12"/>
        <color indexed="8"/>
        <rFont val="Arial"/>
        <family val="2"/>
      </rPr>
      <t>NO</t>
    </r>
    <r>
      <rPr>
        <sz val="12"/>
        <color indexed="8"/>
        <rFont val="Arial"/>
        <family val="2"/>
      </rPr>
      <t>/(</t>
    </r>
    <r>
      <rPr>
        <i/>
        <sz val="12"/>
        <color indexed="8"/>
        <rFont val="Arial"/>
        <family val="2"/>
      </rPr>
      <t>K</t>
    </r>
    <r>
      <rPr>
        <vertAlign val="subscript"/>
        <sz val="12"/>
        <color indexed="8"/>
        <rFont val="Arial"/>
        <family val="2"/>
      </rPr>
      <t>NO</t>
    </r>
    <r>
      <rPr>
        <sz val="12"/>
        <color indexed="8"/>
        <rFont val="Arial"/>
        <family val="2"/>
      </rPr>
      <t>+</t>
    </r>
    <r>
      <rPr>
        <i/>
        <sz val="12"/>
        <color indexed="8"/>
        <rFont val="Arial"/>
        <family val="2"/>
      </rPr>
      <t>S</t>
    </r>
    <r>
      <rPr>
        <vertAlign val="subscript"/>
        <sz val="12"/>
        <color indexed="8"/>
        <rFont val="Arial"/>
        <family val="2"/>
      </rPr>
      <t>NO</t>
    </r>
    <r>
      <rPr>
        <sz val="12"/>
        <color indexed="8"/>
        <rFont val="Arial"/>
        <family val="2"/>
      </rPr>
      <t>)])*</t>
    </r>
    <r>
      <rPr>
        <i/>
        <sz val="12"/>
        <color indexed="8"/>
        <rFont val="Arial"/>
        <family val="2"/>
      </rPr>
      <t>X</t>
    </r>
    <r>
      <rPr>
        <vertAlign val="subscript"/>
        <sz val="12"/>
        <color indexed="8"/>
        <rFont val="Arial"/>
        <family val="2"/>
      </rPr>
      <t>B,H</t>
    </r>
  </si>
  <si>
    <t>Particulate biodegradable organic N</t>
  </si>
  <si>
    <r>
      <t>X</t>
    </r>
    <r>
      <rPr>
        <vertAlign val="subscript"/>
        <sz val="12"/>
        <rFont val="Arial"/>
        <family val="2"/>
      </rPr>
      <t>ND</t>
    </r>
  </si>
  <si>
    <r>
      <t>XC</t>
    </r>
    <r>
      <rPr>
        <vertAlign val="subscript"/>
        <sz val="12"/>
        <rFont val="Arial"/>
        <family val="2"/>
      </rPr>
      <t>B,N</t>
    </r>
  </si>
  <si>
    <t>Composition Matrix</t>
  </si>
  <si>
    <t>Soluble biodegradable organic N</t>
  </si>
  <si>
    <r>
      <t>S</t>
    </r>
    <r>
      <rPr>
        <vertAlign val="subscript"/>
        <sz val="12"/>
        <rFont val="Arial"/>
        <family val="2"/>
      </rPr>
      <t>ND</t>
    </r>
  </si>
  <si>
    <r>
      <t>S</t>
    </r>
    <r>
      <rPr>
        <vertAlign val="subscript"/>
        <sz val="12"/>
        <rFont val="Arial"/>
        <family val="2"/>
      </rPr>
      <t>B,N</t>
    </r>
  </si>
  <si>
    <t>COD</t>
  </si>
  <si>
    <r>
      <t>i</t>
    </r>
    <r>
      <rPr>
        <vertAlign val="subscript"/>
        <sz val="12"/>
        <color indexed="8"/>
        <rFont val="Arial"/>
        <family val="2"/>
      </rPr>
      <t>COD_NO3</t>
    </r>
  </si>
  <si>
    <r>
      <t>i</t>
    </r>
    <r>
      <rPr>
        <vertAlign val="subscript"/>
        <sz val="12"/>
        <color indexed="10"/>
        <rFont val="Arial"/>
        <family val="2"/>
      </rPr>
      <t>COD_N2</t>
    </r>
  </si>
  <si>
    <t>Ordinary heterotrophic organisms</t>
  </si>
  <si>
    <r>
      <t>X</t>
    </r>
    <r>
      <rPr>
        <vertAlign val="subscript"/>
        <sz val="12"/>
        <rFont val="Arial"/>
        <family val="2"/>
      </rPr>
      <t>B,H</t>
    </r>
  </si>
  <si>
    <r>
      <t>X</t>
    </r>
    <r>
      <rPr>
        <vertAlign val="subscript"/>
        <sz val="12"/>
        <rFont val="Arial"/>
        <family val="2"/>
      </rPr>
      <t>OHO</t>
    </r>
  </si>
  <si>
    <t>N</t>
  </si>
  <si>
    <r>
      <t>i</t>
    </r>
    <r>
      <rPr>
        <vertAlign val="subscript"/>
        <sz val="12"/>
        <color indexed="8"/>
        <rFont val="Arial"/>
        <family val="2"/>
      </rPr>
      <t>XB</t>
    </r>
  </si>
  <si>
    <r>
      <t>i</t>
    </r>
    <r>
      <rPr>
        <vertAlign val="subscript"/>
        <sz val="12"/>
        <color indexed="8"/>
        <rFont val="Arial"/>
        <family val="2"/>
      </rPr>
      <t>XP</t>
    </r>
  </si>
  <si>
    <t>Autotrophic nitrifying organisms (NH4+ to NO3-)</t>
  </si>
  <si>
    <r>
      <t>X</t>
    </r>
    <r>
      <rPr>
        <vertAlign val="subscript"/>
        <sz val="12"/>
        <rFont val="Arial"/>
        <family val="2"/>
      </rPr>
      <t>B,A</t>
    </r>
  </si>
  <si>
    <r>
      <t>X</t>
    </r>
    <r>
      <rPr>
        <vertAlign val="subscript"/>
        <sz val="12"/>
        <rFont val="Arial"/>
        <family val="2"/>
      </rPr>
      <t>ANO</t>
    </r>
  </si>
  <si>
    <t>Charge</t>
  </si>
  <si>
    <r>
      <t>i</t>
    </r>
    <r>
      <rPr>
        <vertAlign val="subscript"/>
        <sz val="12"/>
        <color indexed="8"/>
        <rFont val="Arial"/>
        <family val="2"/>
      </rPr>
      <t>Charge_SNOx</t>
    </r>
  </si>
  <si>
    <r>
      <t>i</t>
    </r>
    <r>
      <rPr>
        <vertAlign val="subscript"/>
        <sz val="12"/>
        <color indexed="8"/>
        <rFont val="Arial"/>
        <family val="2"/>
      </rPr>
      <t>Charge_SNHx</t>
    </r>
  </si>
  <si>
    <r>
      <t>Alkalinity (HCO3</t>
    </r>
    <r>
      <rPr>
        <vertAlign val="superscript"/>
        <sz val="11"/>
        <rFont val="Arial"/>
        <family val="2"/>
      </rPr>
      <t>-</t>
    </r>
    <r>
      <rPr>
        <sz val="11"/>
        <color indexed="8"/>
        <rFont val="Arial"/>
        <family val="2"/>
      </rPr>
      <t>)</t>
    </r>
  </si>
  <si>
    <r>
      <t>S</t>
    </r>
    <r>
      <rPr>
        <vertAlign val="subscript"/>
        <sz val="12"/>
        <rFont val="Arial"/>
        <family val="2"/>
      </rPr>
      <t>ALK</t>
    </r>
  </si>
  <si>
    <r>
      <t>S</t>
    </r>
    <r>
      <rPr>
        <vertAlign val="subscript"/>
        <sz val="12"/>
        <rFont val="Arial"/>
        <family val="2"/>
      </rPr>
      <t>Alk</t>
    </r>
  </si>
  <si>
    <r>
      <t>mol HCO</t>
    </r>
    <r>
      <rPr>
        <vertAlign val="subscript"/>
        <sz val="8"/>
        <rFont val="Arial"/>
        <family val="2"/>
      </rPr>
      <t>3</t>
    </r>
    <r>
      <rPr>
        <vertAlign val="superscript"/>
        <sz val="8"/>
        <rFont val="Arial"/>
        <family val="2"/>
      </rPr>
      <t>-</t>
    </r>
    <r>
      <rPr>
        <sz val="8"/>
        <rFont val="Arial"/>
        <family val="2"/>
      </rPr>
      <t>.m</t>
    </r>
    <r>
      <rPr>
        <vertAlign val="superscript"/>
        <sz val="8"/>
        <rFont val="Arial"/>
        <family val="2"/>
      </rPr>
      <t>-3</t>
    </r>
  </si>
  <si>
    <t>Stoichiometry</t>
  </si>
  <si>
    <r>
      <t>Yield for X</t>
    </r>
    <r>
      <rPr>
        <vertAlign val="subscript"/>
        <sz val="11"/>
        <rFont val="Arial"/>
        <family val="2"/>
      </rPr>
      <t>OHO</t>
    </r>
    <r>
      <rPr>
        <sz val="11"/>
        <rFont val="Arial"/>
        <family val="2"/>
      </rPr>
      <t xml:space="preserve"> growth</t>
    </r>
  </si>
  <si>
    <r>
      <t>Y</t>
    </r>
    <r>
      <rPr>
        <vertAlign val="subscript"/>
        <sz val="12"/>
        <rFont val="Arial"/>
        <family val="2"/>
      </rPr>
      <t>H</t>
    </r>
  </si>
  <si>
    <r>
      <t>Y</t>
    </r>
    <r>
      <rPr>
        <vertAlign val="subscript"/>
        <sz val="12"/>
        <rFont val="Arial"/>
        <family val="2"/>
      </rPr>
      <t xml:space="preserve">OHO </t>
    </r>
  </si>
  <si>
    <r>
      <t>g X</t>
    </r>
    <r>
      <rPr>
        <vertAlign val="subscript"/>
        <sz val="8"/>
        <rFont val="Arial"/>
        <family val="2"/>
      </rPr>
      <t>OHO</t>
    </r>
    <r>
      <rPr>
        <sz val="8"/>
        <rFont val="Arial"/>
        <family val="2"/>
      </rPr>
      <t>.g XC</t>
    </r>
    <r>
      <rPr>
        <vertAlign val="subscript"/>
        <sz val="8"/>
        <rFont val="Arial"/>
        <family val="2"/>
      </rPr>
      <t>B</t>
    </r>
    <r>
      <rPr>
        <vertAlign val="superscript"/>
        <sz val="10"/>
        <rFont val="Arial"/>
        <family val="2"/>
      </rPr>
      <t>-1</t>
    </r>
  </si>
  <si>
    <r>
      <t>Fraction of X</t>
    </r>
    <r>
      <rPr>
        <vertAlign val="subscript"/>
        <sz val="11"/>
        <rFont val="Arial"/>
        <family val="2"/>
      </rPr>
      <t>U</t>
    </r>
    <r>
      <rPr>
        <sz val="11"/>
        <rFont val="Arial"/>
        <family val="2"/>
      </rPr>
      <t xml:space="preserve"> generated in biomass decay</t>
    </r>
  </si>
  <si>
    <r>
      <t>f</t>
    </r>
    <r>
      <rPr>
        <vertAlign val="subscript"/>
        <sz val="12"/>
        <rFont val="Arial"/>
        <family val="2"/>
      </rPr>
      <t>XU_Bio,lys</t>
    </r>
  </si>
  <si>
    <r>
      <t>g X</t>
    </r>
    <r>
      <rPr>
        <vertAlign val="subscript"/>
        <sz val="8"/>
        <rFont val="Arial"/>
        <family val="2"/>
      </rPr>
      <t>U</t>
    </r>
    <r>
      <rPr>
        <sz val="8"/>
        <rFont val="Arial"/>
        <family val="2"/>
      </rPr>
      <t>.g X</t>
    </r>
    <r>
      <rPr>
        <vertAlign val="subscript"/>
        <sz val="8"/>
        <rFont val="Arial"/>
        <family val="2"/>
      </rPr>
      <t>Bio</t>
    </r>
    <r>
      <rPr>
        <vertAlign val="superscript"/>
        <sz val="10"/>
        <rFont val="Arial"/>
        <family val="2"/>
      </rPr>
      <t>-1</t>
    </r>
  </si>
  <si>
    <t>Corrected Matrix: Standardised Notation</t>
  </si>
  <si>
    <r>
      <t>Yield of X</t>
    </r>
    <r>
      <rPr>
        <vertAlign val="subscript"/>
        <sz val="11"/>
        <rFont val="Arial"/>
        <family val="2"/>
      </rPr>
      <t>ANO</t>
    </r>
    <r>
      <rPr>
        <sz val="11"/>
        <rFont val="Arial"/>
        <family val="2"/>
      </rPr>
      <t xml:space="preserve"> growth per S</t>
    </r>
    <r>
      <rPr>
        <vertAlign val="subscript"/>
        <sz val="11"/>
        <rFont val="Arial"/>
        <family val="2"/>
      </rPr>
      <t>NO3</t>
    </r>
  </si>
  <si>
    <r>
      <t>Y</t>
    </r>
    <r>
      <rPr>
        <vertAlign val="subscript"/>
        <sz val="12"/>
        <rFont val="Arial"/>
        <family val="2"/>
      </rPr>
      <t>A</t>
    </r>
  </si>
  <si>
    <r>
      <t>Y</t>
    </r>
    <r>
      <rPr>
        <vertAlign val="subscript"/>
        <sz val="12"/>
        <rFont val="Arial"/>
        <family val="2"/>
      </rPr>
      <t xml:space="preserve">ANO </t>
    </r>
  </si>
  <si>
    <r>
      <t>g X</t>
    </r>
    <r>
      <rPr>
        <vertAlign val="subscript"/>
        <sz val="8"/>
        <rFont val="Arial"/>
        <family val="2"/>
      </rPr>
      <t>AUT</t>
    </r>
    <r>
      <rPr>
        <sz val="8"/>
        <rFont val="Arial"/>
        <family val="2"/>
      </rPr>
      <t>.g S</t>
    </r>
    <r>
      <rPr>
        <vertAlign val="subscript"/>
        <sz val="8"/>
        <rFont val="Arial"/>
        <family val="2"/>
      </rPr>
      <t>NO3</t>
    </r>
    <r>
      <rPr>
        <vertAlign val="superscript"/>
        <sz val="10"/>
        <rFont val="Arial"/>
        <family val="2"/>
      </rPr>
      <t>-1</t>
    </r>
  </si>
  <si>
    <r>
      <t>N content of biomass (X</t>
    </r>
    <r>
      <rPr>
        <vertAlign val="subscript"/>
        <sz val="11"/>
        <rFont val="Arial"/>
        <family val="2"/>
      </rPr>
      <t>OHO</t>
    </r>
    <r>
      <rPr>
        <sz val="11"/>
        <rFont val="Arial"/>
        <family val="2"/>
      </rPr>
      <t>, X</t>
    </r>
    <r>
      <rPr>
        <vertAlign val="subscript"/>
        <sz val="11"/>
        <rFont val="Arial"/>
        <family val="2"/>
      </rPr>
      <t>PAO</t>
    </r>
    <r>
      <rPr>
        <sz val="11"/>
        <rFont val="Arial"/>
        <family val="2"/>
      </rPr>
      <t>, X</t>
    </r>
    <r>
      <rPr>
        <vertAlign val="subscript"/>
        <sz val="11"/>
        <rFont val="Arial"/>
        <family val="2"/>
      </rPr>
      <t>ANO</t>
    </r>
    <r>
      <rPr>
        <sz val="11"/>
        <rFont val="Arial"/>
        <family val="2"/>
      </rPr>
      <t>)</t>
    </r>
  </si>
  <si>
    <r>
      <t>i</t>
    </r>
    <r>
      <rPr>
        <vertAlign val="subscript"/>
        <sz val="12"/>
        <rFont val="Arial"/>
        <family val="2"/>
      </rPr>
      <t>XB</t>
    </r>
  </si>
  <si>
    <r>
      <t>i</t>
    </r>
    <r>
      <rPr>
        <vertAlign val="subscript"/>
        <sz val="12"/>
        <rFont val="Arial"/>
        <family val="2"/>
      </rPr>
      <t>N_XBio</t>
    </r>
  </si>
  <si>
    <r>
      <t>g N.g X</t>
    </r>
    <r>
      <rPr>
        <vertAlign val="subscript"/>
        <sz val="8"/>
        <rFont val="Arial"/>
        <family val="2"/>
      </rPr>
      <t>Bio</t>
    </r>
    <r>
      <rPr>
        <vertAlign val="superscript"/>
        <sz val="10"/>
        <rFont val="Arial"/>
        <family val="2"/>
      </rPr>
      <t>-1</t>
    </r>
  </si>
  <si>
    <r>
      <t>S</t>
    </r>
    <r>
      <rPr>
        <b/>
        <vertAlign val="subscript"/>
        <sz val="12"/>
        <color indexed="8"/>
        <rFont val="Arial"/>
        <family val="2"/>
      </rPr>
      <t>U</t>
    </r>
  </si>
  <si>
    <r>
      <t>S</t>
    </r>
    <r>
      <rPr>
        <b/>
        <vertAlign val="subscript"/>
        <sz val="12"/>
        <color indexed="8"/>
        <rFont val="Arial"/>
        <family val="2"/>
      </rPr>
      <t>B</t>
    </r>
  </si>
  <si>
    <r>
      <t>X</t>
    </r>
    <r>
      <rPr>
        <b/>
        <vertAlign val="subscript"/>
        <sz val="12"/>
        <color indexed="8"/>
        <rFont val="Arial"/>
        <family val="2"/>
      </rPr>
      <t>U,Inf</t>
    </r>
  </si>
  <si>
    <r>
      <t>XC</t>
    </r>
    <r>
      <rPr>
        <b/>
        <vertAlign val="subscript"/>
        <sz val="12"/>
        <color indexed="8"/>
        <rFont val="Arial"/>
        <family val="2"/>
      </rPr>
      <t>B</t>
    </r>
  </si>
  <si>
    <r>
      <t>X</t>
    </r>
    <r>
      <rPr>
        <b/>
        <vertAlign val="subscript"/>
        <sz val="12"/>
        <color indexed="8"/>
        <rFont val="Arial"/>
        <family val="2"/>
      </rPr>
      <t>OHO</t>
    </r>
  </si>
  <si>
    <r>
      <t>X</t>
    </r>
    <r>
      <rPr>
        <b/>
        <vertAlign val="subscript"/>
        <sz val="12"/>
        <color indexed="8"/>
        <rFont val="Arial"/>
        <family val="2"/>
      </rPr>
      <t>ANO</t>
    </r>
  </si>
  <si>
    <r>
      <t>X</t>
    </r>
    <r>
      <rPr>
        <b/>
        <vertAlign val="subscript"/>
        <sz val="12"/>
        <color indexed="8"/>
        <rFont val="Arial"/>
        <family val="2"/>
      </rPr>
      <t>U,E</t>
    </r>
  </si>
  <si>
    <r>
      <t>S</t>
    </r>
    <r>
      <rPr>
        <b/>
        <vertAlign val="subscript"/>
        <sz val="12"/>
        <color indexed="8"/>
        <rFont val="Arial"/>
        <family val="2"/>
      </rPr>
      <t>O2</t>
    </r>
  </si>
  <si>
    <r>
      <t>S</t>
    </r>
    <r>
      <rPr>
        <vertAlign val="subscript"/>
        <sz val="12"/>
        <color indexed="8"/>
        <rFont val="Arial"/>
        <family val="2"/>
      </rPr>
      <t>NOX</t>
    </r>
  </si>
  <si>
    <r>
      <t>S</t>
    </r>
    <r>
      <rPr>
        <b/>
        <vertAlign val="subscript"/>
        <sz val="12"/>
        <color indexed="8"/>
        <rFont val="Arial"/>
        <family val="2"/>
      </rPr>
      <t>NHX</t>
    </r>
  </si>
  <si>
    <r>
      <t>S</t>
    </r>
    <r>
      <rPr>
        <b/>
        <vertAlign val="subscript"/>
        <sz val="12"/>
        <color indexed="8"/>
        <rFont val="Arial"/>
        <family val="2"/>
      </rPr>
      <t>B,N</t>
    </r>
  </si>
  <si>
    <r>
      <t>XC</t>
    </r>
    <r>
      <rPr>
        <b/>
        <vertAlign val="subscript"/>
        <sz val="12"/>
        <color indexed="8"/>
        <rFont val="Arial"/>
        <family val="2"/>
      </rPr>
      <t>B,N</t>
    </r>
  </si>
  <si>
    <r>
      <t>S</t>
    </r>
    <r>
      <rPr>
        <b/>
        <vertAlign val="subscript"/>
        <sz val="12"/>
        <color indexed="8"/>
        <rFont val="Arial"/>
        <family val="2"/>
      </rPr>
      <t>Alk</t>
    </r>
  </si>
  <si>
    <t>N content of products from biomass</t>
  </si>
  <si>
    <r>
      <t>i</t>
    </r>
    <r>
      <rPr>
        <vertAlign val="subscript"/>
        <sz val="12"/>
        <rFont val="Arial"/>
        <family val="2"/>
      </rPr>
      <t>XP</t>
    </r>
  </si>
  <si>
    <r>
      <t>i</t>
    </r>
    <r>
      <rPr>
        <vertAlign val="subscript"/>
        <sz val="12"/>
        <rFont val="Arial"/>
        <family val="2"/>
      </rPr>
      <t>N_XUE</t>
    </r>
  </si>
  <si>
    <r>
      <t>g N.g X</t>
    </r>
    <r>
      <rPr>
        <vertAlign val="subscript"/>
        <sz val="8"/>
        <rFont val="Arial"/>
        <family val="2"/>
      </rPr>
      <t>UE</t>
    </r>
    <r>
      <rPr>
        <vertAlign val="superscript"/>
        <sz val="10"/>
        <rFont val="Arial"/>
        <family val="2"/>
      </rPr>
      <t>-1</t>
    </r>
  </si>
  <si>
    <r>
      <t>-1/</t>
    </r>
    <r>
      <rPr>
        <i/>
        <sz val="12"/>
        <rFont val="Arial"/>
        <family val="2"/>
      </rPr>
      <t>Y</t>
    </r>
    <r>
      <rPr>
        <vertAlign val="subscript"/>
        <sz val="12"/>
        <rFont val="Arial"/>
        <family val="2"/>
      </rPr>
      <t>OHO</t>
    </r>
  </si>
  <si>
    <r>
      <t>-(1-</t>
    </r>
    <r>
      <rPr>
        <i/>
        <sz val="12"/>
        <rFont val="Arial"/>
        <family val="2"/>
      </rPr>
      <t>Y</t>
    </r>
    <r>
      <rPr>
        <vertAlign val="subscript"/>
        <sz val="12"/>
        <rFont val="Arial"/>
        <family val="2"/>
      </rPr>
      <t>OHO</t>
    </r>
    <r>
      <rPr>
        <sz val="12"/>
        <rFont val="Arial"/>
        <family val="2"/>
      </rPr>
      <t>)/</t>
    </r>
    <r>
      <rPr>
        <i/>
        <sz val="12"/>
        <rFont val="Arial"/>
        <family val="2"/>
      </rPr>
      <t>Y</t>
    </r>
    <r>
      <rPr>
        <vertAlign val="subscript"/>
        <sz val="12"/>
        <rFont val="Arial"/>
        <family val="2"/>
      </rPr>
      <t>OHO</t>
    </r>
  </si>
  <si>
    <r>
      <t>-</t>
    </r>
    <r>
      <rPr>
        <i/>
        <sz val="12"/>
        <rFont val="Arial"/>
        <family val="2"/>
      </rPr>
      <t>i</t>
    </r>
    <r>
      <rPr>
        <vertAlign val="subscript"/>
        <sz val="12"/>
        <rFont val="Arial"/>
        <family val="2"/>
      </rPr>
      <t>N_XBio</t>
    </r>
  </si>
  <si>
    <r>
      <t>-</t>
    </r>
    <r>
      <rPr>
        <i/>
        <sz val="12"/>
        <rFont val="Arial"/>
        <family val="2"/>
      </rPr>
      <t>i</t>
    </r>
    <r>
      <rPr>
        <vertAlign val="subscript"/>
        <sz val="12"/>
        <rFont val="Arial"/>
        <family val="2"/>
      </rPr>
      <t>N_XBio</t>
    </r>
    <r>
      <rPr>
        <sz val="12"/>
        <rFont val="Arial"/>
        <family val="2"/>
      </rPr>
      <t>*</t>
    </r>
    <r>
      <rPr>
        <i/>
        <sz val="12"/>
        <rFont val="Arial"/>
        <family val="2"/>
      </rPr>
      <t>i</t>
    </r>
    <r>
      <rPr>
        <vertAlign val="subscript"/>
        <sz val="12"/>
        <rFont val="Arial"/>
        <family val="2"/>
      </rPr>
      <t>Charge_SNHx</t>
    </r>
  </si>
  <si>
    <r>
      <t>μ</t>
    </r>
    <r>
      <rPr>
        <vertAlign val="subscript"/>
        <sz val="12"/>
        <color indexed="8"/>
        <rFont val="Arial"/>
        <family val="2"/>
      </rPr>
      <t>OHO,Max</t>
    </r>
    <r>
      <rPr>
        <sz val="12"/>
        <color indexed="8"/>
        <rFont val="Arial"/>
        <family val="2"/>
      </rPr>
      <t>*[</t>
    </r>
    <r>
      <rPr>
        <i/>
        <sz val="12"/>
        <color indexed="8"/>
        <rFont val="Arial"/>
        <family val="2"/>
      </rPr>
      <t>S</t>
    </r>
    <r>
      <rPr>
        <vertAlign val="subscript"/>
        <sz val="12"/>
        <color indexed="8"/>
        <rFont val="Arial"/>
        <family val="2"/>
      </rPr>
      <t>B</t>
    </r>
    <r>
      <rPr>
        <sz val="12"/>
        <color indexed="8"/>
        <rFont val="Arial"/>
        <family val="2"/>
      </rPr>
      <t>/(</t>
    </r>
    <r>
      <rPr>
        <i/>
        <sz val="12"/>
        <color indexed="8"/>
        <rFont val="Arial"/>
        <family val="2"/>
      </rPr>
      <t>K</t>
    </r>
    <r>
      <rPr>
        <vertAlign val="subscript"/>
        <sz val="12"/>
        <color indexed="8"/>
        <rFont val="Arial"/>
        <family val="2"/>
      </rPr>
      <t>SB,OHO</t>
    </r>
    <r>
      <rPr>
        <sz val="12"/>
        <color indexed="8"/>
        <rFont val="Arial"/>
        <family val="2"/>
      </rPr>
      <t>+</t>
    </r>
    <r>
      <rPr>
        <i/>
        <sz val="12"/>
        <color indexed="8"/>
        <rFont val="Arial"/>
        <family val="2"/>
      </rPr>
      <t>S</t>
    </r>
    <r>
      <rPr>
        <vertAlign val="subscript"/>
        <sz val="12"/>
        <color indexed="8"/>
        <rFont val="Arial"/>
        <family val="2"/>
      </rPr>
      <t>B</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sz val="12"/>
        <color indexed="10"/>
        <rFont val="Arial"/>
        <family val="2"/>
      </rPr>
      <t>[</t>
    </r>
    <r>
      <rPr>
        <i/>
        <sz val="12"/>
        <color indexed="10"/>
        <rFont val="Arial"/>
        <family val="2"/>
      </rPr>
      <t>S</t>
    </r>
    <r>
      <rPr>
        <vertAlign val="subscript"/>
        <sz val="12"/>
        <color indexed="10"/>
        <rFont val="Arial"/>
        <family val="2"/>
      </rPr>
      <t>NHX</t>
    </r>
    <r>
      <rPr>
        <sz val="12"/>
        <color indexed="10"/>
        <rFont val="Arial"/>
        <family val="2"/>
      </rPr>
      <t>/(</t>
    </r>
    <r>
      <rPr>
        <i/>
        <sz val="12"/>
        <color indexed="10"/>
        <rFont val="Arial"/>
        <family val="2"/>
      </rPr>
      <t>K</t>
    </r>
    <r>
      <rPr>
        <vertAlign val="subscript"/>
        <sz val="12"/>
        <color indexed="10"/>
        <rFont val="Arial"/>
        <family val="2"/>
      </rPr>
      <t>NHx,OHO</t>
    </r>
    <r>
      <rPr>
        <sz val="12"/>
        <color indexed="10"/>
        <rFont val="Arial"/>
        <family val="2"/>
      </rPr>
      <t>+</t>
    </r>
    <r>
      <rPr>
        <i/>
        <sz val="12"/>
        <color indexed="10"/>
        <rFont val="Arial"/>
        <family val="2"/>
      </rPr>
      <t>S</t>
    </r>
    <r>
      <rPr>
        <vertAlign val="subscript"/>
        <sz val="12"/>
        <color indexed="10"/>
        <rFont val="Arial"/>
        <family val="2"/>
      </rPr>
      <t>NHX</t>
    </r>
    <r>
      <rPr>
        <sz val="12"/>
        <color indexed="10"/>
        <rFont val="Arial"/>
        <family val="2"/>
      </rPr>
      <t>)]</t>
    </r>
    <r>
      <rPr>
        <sz val="12"/>
        <color indexed="8"/>
        <rFont val="Arial"/>
        <family val="2"/>
      </rPr>
      <t>*</t>
    </r>
    <r>
      <rPr>
        <i/>
        <sz val="12"/>
        <color indexed="8"/>
        <rFont val="Arial"/>
        <family val="2"/>
      </rPr>
      <t>X</t>
    </r>
    <r>
      <rPr>
        <vertAlign val="subscript"/>
        <sz val="12"/>
        <color indexed="8"/>
        <rFont val="Arial"/>
        <family val="2"/>
      </rPr>
      <t>OHO</t>
    </r>
  </si>
  <si>
    <r>
      <t>Conversion factor for NO</t>
    </r>
    <r>
      <rPr>
        <vertAlign val="subscript"/>
        <sz val="11"/>
        <color indexed="8"/>
        <rFont val="Arial"/>
        <family val="2"/>
      </rPr>
      <t>3</t>
    </r>
    <r>
      <rPr>
        <sz val="11"/>
        <color indexed="8"/>
        <rFont val="Arial"/>
        <family val="2"/>
      </rPr>
      <t xml:space="preserve"> reduction to N</t>
    </r>
    <r>
      <rPr>
        <vertAlign val="subscript"/>
        <sz val="11"/>
        <color indexed="8"/>
        <rFont val="Arial"/>
        <family val="2"/>
      </rPr>
      <t>2</t>
    </r>
  </si>
  <si>
    <r>
      <t>i</t>
    </r>
    <r>
      <rPr>
        <vertAlign val="subscript"/>
        <sz val="12"/>
        <rFont val="Arial"/>
        <family val="2"/>
      </rPr>
      <t>NO3,N2</t>
    </r>
  </si>
  <si>
    <r>
      <t>g COD.g N</t>
    </r>
    <r>
      <rPr>
        <vertAlign val="superscript"/>
        <sz val="8"/>
        <color indexed="8"/>
        <rFont val="Arial"/>
        <family val="2"/>
      </rPr>
      <t>-1</t>
    </r>
  </si>
  <si>
    <r>
      <t>-(1-</t>
    </r>
    <r>
      <rPr>
        <i/>
        <sz val="12"/>
        <rFont val="Arial"/>
        <family val="2"/>
      </rPr>
      <t>Y</t>
    </r>
    <r>
      <rPr>
        <vertAlign val="subscript"/>
        <sz val="12"/>
        <rFont val="Arial"/>
        <family val="2"/>
      </rPr>
      <t>OHO</t>
    </r>
    <r>
      <rPr>
        <sz val="12"/>
        <rFont val="Arial"/>
        <family val="2"/>
      </rPr>
      <t>)/(</t>
    </r>
    <r>
      <rPr>
        <i/>
        <sz val="12"/>
        <rFont val="Arial"/>
        <family val="2"/>
      </rPr>
      <t>i</t>
    </r>
    <r>
      <rPr>
        <vertAlign val="subscript"/>
        <sz val="12"/>
        <rFont val="Arial"/>
        <family val="2"/>
      </rPr>
      <t>NO3,N2</t>
    </r>
    <r>
      <rPr>
        <sz val="12"/>
        <rFont val="Arial"/>
        <family val="2"/>
      </rPr>
      <t>*</t>
    </r>
    <r>
      <rPr>
        <i/>
        <sz val="12"/>
        <rFont val="Arial"/>
        <family val="2"/>
      </rPr>
      <t>Y</t>
    </r>
    <r>
      <rPr>
        <vertAlign val="subscript"/>
        <sz val="12"/>
        <rFont val="Arial"/>
        <family val="2"/>
      </rPr>
      <t>OHO</t>
    </r>
    <r>
      <rPr>
        <sz val="12"/>
        <rFont val="Arial"/>
        <family val="2"/>
      </rPr>
      <t>)</t>
    </r>
  </si>
  <si>
    <r>
      <t>-(1-</t>
    </r>
    <r>
      <rPr>
        <i/>
        <sz val="12"/>
        <rFont val="Arial"/>
        <family val="2"/>
      </rPr>
      <t>Y</t>
    </r>
    <r>
      <rPr>
        <vertAlign val="subscript"/>
        <sz val="12"/>
        <rFont val="Arial"/>
        <family val="2"/>
      </rPr>
      <t>OHO</t>
    </r>
    <r>
      <rPr>
        <sz val="12"/>
        <rFont val="Arial"/>
        <family val="2"/>
      </rPr>
      <t>)/(</t>
    </r>
    <r>
      <rPr>
        <i/>
        <sz val="12"/>
        <rFont val="Arial"/>
        <family val="2"/>
      </rPr>
      <t>i</t>
    </r>
    <r>
      <rPr>
        <vertAlign val="subscript"/>
        <sz val="12"/>
        <rFont val="Arial"/>
        <family val="2"/>
      </rPr>
      <t>NO3,N2</t>
    </r>
    <r>
      <rPr>
        <sz val="12"/>
        <rFont val="Arial"/>
        <family val="2"/>
      </rPr>
      <t>*</t>
    </r>
    <r>
      <rPr>
        <i/>
        <sz val="12"/>
        <rFont val="Arial"/>
        <family val="2"/>
      </rPr>
      <t>Y</t>
    </r>
    <r>
      <rPr>
        <vertAlign val="subscript"/>
        <sz val="12"/>
        <rFont val="Arial"/>
        <family val="2"/>
      </rPr>
      <t>OHO</t>
    </r>
    <r>
      <rPr>
        <sz val="12"/>
        <rFont val="Arial"/>
        <family val="2"/>
      </rPr>
      <t>)*</t>
    </r>
    <r>
      <rPr>
        <i/>
        <sz val="12"/>
        <rFont val="Arial"/>
        <family val="2"/>
      </rPr>
      <t>i</t>
    </r>
    <r>
      <rPr>
        <vertAlign val="subscript"/>
        <sz val="12"/>
        <rFont val="Arial"/>
        <family val="2"/>
      </rPr>
      <t>Charge_SNOx</t>
    </r>
    <r>
      <rPr>
        <sz val="12"/>
        <rFont val="Arial"/>
        <family val="2"/>
      </rPr>
      <t>-</t>
    </r>
    <r>
      <rPr>
        <i/>
        <sz val="12"/>
        <rFont val="Arial"/>
        <family val="2"/>
      </rPr>
      <t>i</t>
    </r>
    <r>
      <rPr>
        <vertAlign val="subscript"/>
        <sz val="12"/>
        <rFont val="Arial"/>
        <family val="2"/>
      </rPr>
      <t>N_XBio</t>
    </r>
    <r>
      <rPr>
        <sz val="12"/>
        <rFont val="Arial"/>
        <family val="2"/>
      </rPr>
      <t>*</t>
    </r>
    <r>
      <rPr>
        <i/>
        <sz val="12"/>
        <rFont val="Arial"/>
        <family val="2"/>
      </rPr>
      <t>i</t>
    </r>
    <r>
      <rPr>
        <vertAlign val="subscript"/>
        <sz val="12"/>
        <rFont val="Arial"/>
        <family val="2"/>
      </rPr>
      <t>Charge_SNHx</t>
    </r>
  </si>
  <si>
    <r>
      <t>(1-</t>
    </r>
    <r>
      <rPr>
        <i/>
        <sz val="12"/>
        <color indexed="10"/>
        <rFont val="Arial"/>
        <family val="2"/>
      </rPr>
      <t>Y</t>
    </r>
    <r>
      <rPr>
        <vertAlign val="subscript"/>
        <sz val="12"/>
        <color indexed="10"/>
        <rFont val="Arial"/>
        <family val="2"/>
      </rPr>
      <t>OHO</t>
    </r>
    <r>
      <rPr>
        <sz val="12"/>
        <color indexed="10"/>
        <rFont val="Arial"/>
        <family val="2"/>
      </rPr>
      <t>)/(</t>
    </r>
    <r>
      <rPr>
        <i/>
        <sz val="12"/>
        <color indexed="10"/>
        <rFont val="Arial"/>
        <family val="2"/>
      </rPr>
      <t>i</t>
    </r>
    <r>
      <rPr>
        <vertAlign val="subscript"/>
        <sz val="12"/>
        <color indexed="10"/>
        <rFont val="Arial"/>
        <family val="2"/>
      </rPr>
      <t>NO3,N2</t>
    </r>
    <r>
      <rPr>
        <sz val="12"/>
        <color indexed="10"/>
        <rFont val="Arial"/>
        <family val="2"/>
      </rPr>
      <t>*</t>
    </r>
    <r>
      <rPr>
        <i/>
        <sz val="12"/>
        <color indexed="10"/>
        <rFont val="Arial"/>
        <family val="2"/>
      </rPr>
      <t>Y</t>
    </r>
    <r>
      <rPr>
        <vertAlign val="subscript"/>
        <sz val="12"/>
        <color indexed="10"/>
        <rFont val="Arial"/>
        <family val="2"/>
      </rPr>
      <t>OHO</t>
    </r>
    <r>
      <rPr>
        <sz val="12"/>
        <color indexed="10"/>
        <rFont val="Arial"/>
        <family val="2"/>
      </rPr>
      <t>)</t>
    </r>
  </si>
  <si>
    <r>
      <t>μ</t>
    </r>
    <r>
      <rPr>
        <vertAlign val="subscript"/>
        <sz val="12"/>
        <color indexed="8"/>
        <rFont val="Arial"/>
        <family val="2"/>
      </rPr>
      <t>OHO,Max</t>
    </r>
    <r>
      <rPr>
        <sz val="12"/>
        <color indexed="8"/>
        <rFont val="Arial"/>
        <family val="2"/>
      </rPr>
      <t>*[</t>
    </r>
    <r>
      <rPr>
        <i/>
        <sz val="12"/>
        <color indexed="8"/>
        <rFont val="Arial"/>
        <family val="2"/>
      </rPr>
      <t>S</t>
    </r>
    <r>
      <rPr>
        <vertAlign val="subscript"/>
        <sz val="12"/>
        <color indexed="8"/>
        <rFont val="Arial"/>
        <family val="2"/>
      </rPr>
      <t>B</t>
    </r>
    <r>
      <rPr>
        <sz val="12"/>
        <color indexed="8"/>
        <rFont val="Arial"/>
        <family val="2"/>
      </rPr>
      <t>/(</t>
    </r>
    <r>
      <rPr>
        <i/>
        <sz val="12"/>
        <color indexed="8"/>
        <rFont val="Arial"/>
        <family val="2"/>
      </rPr>
      <t>K</t>
    </r>
    <r>
      <rPr>
        <vertAlign val="subscript"/>
        <sz val="12"/>
        <color indexed="8"/>
        <rFont val="Arial"/>
        <family val="2"/>
      </rPr>
      <t>SB,OHO</t>
    </r>
    <r>
      <rPr>
        <sz val="12"/>
        <color indexed="8"/>
        <rFont val="Arial"/>
        <family val="2"/>
      </rPr>
      <t>+</t>
    </r>
    <r>
      <rPr>
        <i/>
        <sz val="12"/>
        <color indexed="8"/>
        <rFont val="Arial"/>
        <family val="2"/>
      </rPr>
      <t>S</t>
    </r>
    <r>
      <rPr>
        <vertAlign val="subscript"/>
        <sz val="12"/>
        <color indexed="8"/>
        <rFont val="Arial"/>
        <family val="2"/>
      </rPr>
      <t>B</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S</t>
    </r>
    <r>
      <rPr>
        <vertAlign val="subscript"/>
        <sz val="12"/>
        <color indexed="8"/>
        <rFont val="Arial"/>
        <family val="2"/>
      </rPr>
      <t>NOx</t>
    </r>
    <r>
      <rPr>
        <sz val="12"/>
        <color indexed="8"/>
        <rFont val="Arial"/>
        <family val="2"/>
      </rPr>
      <t>/(</t>
    </r>
    <r>
      <rPr>
        <i/>
        <sz val="12"/>
        <color indexed="8"/>
        <rFont val="Arial"/>
        <family val="2"/>
      </rPr>
      <t>K</t>
    </r>
    <r>
      <rPr>
        <vertAlign val="subscript"/>
        <sz val="12"/>
        <color indexed="8"/>
        <rFont val="Arial"/>
        <family val="2"/>
      </rPr>
      <t>NOx,OHO</t>
    </r>
    <r>
      <rPr>
        <sz val="12"/>
        <color indexed="8"/>
        <rFont val="Arial"/>
        <family val="2"/>
      </rPr>
      <t>+</t>
    </r>
    <r>
      <rPr>
        <i/>
        <sz val="12"/>
        <color indexed="8"/>
        <rFont val="Arial"/>
        <family val="2"/>
      </rPr>
      <t>S</t>
    </r>
    <r>
      <rPr>
        <vertAlign val="subscript"/>
        <sz val="12"/>
        <color indexed="8"/>
        <rFont val="Arial"/>
        <family val="2"/>
      </rPr>
      <t>NOx</t>
    </r>
    <r>
      <rPr>
        <sz val="12"/>
        <color indexed="8"/>
        <rFont val="Arial"/>
        <family val="2"/>
      </rPr>
      <t>)]*</t>
    </r>
    <r>
      <rPr>
        <sz val="12"/>
        <color indexed="10"/>
        <rFont val="Arial"/>
        <family val="2"/>
      </rPr>
      <t>[</t>
    </r>
    <r>
      <rPr>
        <i/>
        <sz val="12"/>
        <color indexed="10"/>
        <rFont val="Arial"/>
        <family val="2"/>
      </rPr>
      <t>S</t>
    </r>
    <r>
      <rPr>
        <vertAlign val="subscript"/>
        <sz val="12"/>
        <color indexed="10"/>
        <rFont val="Arial"/>
        <family val="2"/>
      </rPr>
      <t>NHX</t>
    </r>
    <r>
      <rPr>
        <sz val="12"/>
        <color indexed="10"/>
        <rFont val="Arial"/>
        <family val="2"/>
      </rPr>
      <t>/(</t>
    </r>
    <r>
      <rPr>
        <i/>
        <sz val="12"/>
        <color indexed="10"/>
        <rFont val="Arial"/>
        <family val="2"/>
      </rPr>
      <t>K</t>
    </r>
    <r>
      <rPr>
        <vertAlign val="subscript"/>
        <sz val="12"/>
        <color indexed="10"/>
        <rFont val="Arial"/>
        <family val="2"/>
      </rPr>
      <t>NHx,OHO</t>
    </r>
    <r>
      <rPr>
        <sz val="12"/>
        <color indexed="10"/>
        <rFont val="Arial"/>
        <family val="2"/>
      </rPr>
      <t>+</t>
    </r>
    <r>
      <rPr>
        <i/>
        <sz val="12"/>
        <color indexed="10"/>
        <rFont val="Arial"/>
        <family val="2"/>
      </rPr>
      <t>S</t>
    </r>
    <r>
      <rPr>
        <vertAlign val="subscript"/>
        <sz val="12"/>
        <color indexed="10"/>
        <rFont val="Arial"/>
        <family val="2"/>
      </rPr>
      <t>NHX</t>
    </r>
    <r>
      <rPr>
        <sz val="12"/>
        <color indexed="10"/>
        <rFont val="Arial"/>
        <family val="2"/>
      </rPr>
      <t>)]</t>
    </r>
    <r>
      <rPr>
        <sz val="12"/>
        <color indexed="8"/>
        <rFont val="Arial"/>
        <family val="2"/>
      </rPr>
      <t>*</t>
    </r>
    <r>
      <rPr>
        <i/>
        <sz val="12"/>
        <color indexed="8"/>
        <rFont val="Arial"/>
        <family val="2"/>
      </rPr>
      <t>n</t>
    </r>
    <r>
      <rPr>
        <vertAlign val="subscript"/>
        <sz val="12"/>
        <color indexed="8"/>
        <rFont val="Arial"/>
        <family val="2"/>
      </rPr>
      <t>μOHO,Ax</t>
    </r>
    <r>
      <rPr>
        <sz val="12"/>
        <color indexed="8"/>
        <rFont val="Arial"/>
        <family val="2"/>
      </rPr>
      <t>*</t>
    </r>
    <r>
      <rPr>
        <i/>
        <sz val="12"/>
        <color indexed="8"/>
        <rFont val="Arial"/>
        <family val="2"/>
      </rPr>
      <t>X</t>
    </r>
    <r>
      <rPr>
        <vertAlign val="subscript"/>
        <sz val="12"/>
        <color indexed="8"/>
        <rFont val="Arial"/>
        <family val="2"/>
      </rPr>
      <t>OHO</t>
    </r>
  </si>
  <si>
    <r>
      <t>Conversion factor for NO</t>
    </r>
    <r>
      <rPr>
        <vertAlign val="subscript"/>
        <sz val="11"/>
        <color indexed="8"/>
        <rFont val="Arial"/>
        <family val="2"/>
      </rPr>
      <t>3</t>
    </r>
    <r>
      <rPr>
        <sz val="11"/>
        <color indexed="8"/>
        <rFont val="Arial"/>
        <family val="2"/>
      </rPr>
      <t xml:space="preserve"> in COD</t>
    </r>
  </si>
  <si>
    <r>
      <t>i</t>
    </r>
    <r>
      <rPr>
        <vertAlign val="subscript"/>
        <sz val="12"/>
        <rFont val="Arial"/>
        <family val="2"/>
      </rPr>
      <t>COD_NO3</t>
    </r>
  </si>
  <si>
    <r>
      <t>-(-</t>
    </r>
    <r>
      <rPr>
        <i/>
        <sz val="12"/>
        <rFont val="Arial"/>
        <family val="2"/>
      </rPr>
      <t>i</t>
    </r>
    <r>
      <rPr>
        <vertAlign val="subscript"/>
        <sz val="12"/>
        <rFont val="Arial"/>
        <family val="2"/>
      </rPr>
      <t>COD_NO3</t>
    </r>
    <r>
      <rPr>
        <sz val="12"/>
        <rFont val="Arial"/>
        <family val="2"/>
      </rPr>
      <t>-</t>
    </r>
    <r>
      <rPr>
        <i/>
        <sz val="12"/>
        <rFont val="Arial"/>
        <family val="2"/>
      </rPr>
      <t>Y</t>
    </r>
    <r>
      <rPr>
        <vertAlign val="subscript"/>
        <sz val="12"/>
        <rFont val="Arial"/>
        <family val="2"/>
      </rPr>
      <t>ANO</t>
    </r>
    <r>
      <rPr>
        <sz val="12"/>
        <rFont val="Arial"/>
        <family val="2"/>
      </rPr>
      <t>)/</t>
    </r>
    <r>
      <rPr>
        <i/>
        <sz val="12"/>
        <rFont val="Arial"/>
        <family val="2"/>
      </rPr>
      <t>Y</t>
    </r>
    <r>
      <rPr>
        <vertAlign val="subscript"/>
        <sz val="12"/>
        <rFont val="Arial"/>
        <family val="2"/>
      </rPr>
      <t>ANO</t>
    </r>
  </si>
  <si>
    <r>
      <t>1/</t>
    </r>
    <r>
      <rPr>
        <i/>
        <sz val="12"/>
        <rFont val="Arial"/>
        <family val="2"/>
      </rPr>
      <t>Y</t>
    </r>
    <r>
      <rPr>
        <vertAlign val="subscript"/>
        <sz val="12"/>
        <rFont val="Arial"/>
        <family val="2"/>
      </rPr>
      <t>ANO</t>
    </r>
  </si>
  <si>
    <r>
      <t>-</t>
    </r>
    <r>
      <rPr>
        <i/>
        <sz val="12"/>
        <rFont val="Arial"/>
        <family val="2"/>
      </rPr>
      <t>i</t>
    </r>
    <r>
      <rPr>
        <vertAlign val="subscript"/>
        <sz val="12"/>
        <rFont val="Arial"/>
        <family val="2"/>
      </rPr>
      <t>N_XBio</t>
    </r>
    <r>
      <rPr>
        <sz val="12"/>
        <rFont val="Arial"/>
        <family val="2"/>
      </rPr>
      <t>-1/</t>
    </r>
    <r>
      <rPr>
        <i/>
        <sz val="12"/>
        <rFont val="Arial"/>
        <family val="2"/>
      </rPr>
      <t>Y</t>
    </r>
    <r>
      <rPr>
        <vertAlign val="subscript"/>
        <sz val="12"/>
        <rFont val="Arial"/>
        <family val="2"/>
      </rPr>
      <t>ANO</t>
    </r>
  </si>
  <si>
    <r>
      <t>-(</t>
    </r>
    <r>
      <rPr>
        <i/>
        <sz val="12"/>
        <rFont val="Arial"/>
        <family val="2"/>
      </rPr>
      <t>i</t>
    </r>
    <r>
      <rPr>
        <vertAlign val="subscript"/>
        <sz val="12"/>
        <rFont val="Arial"/>
        <family val="2"/>
      </rPr>
      <t>N_XBio</t>
    </r>
    <r>
      <rPr>
        <sz val="12"/>
        <rFont val="Arial"/>
        <family val="2"/>
      </rPr>
      <t>+1/</t>
    </r>
    <r>
      <rPr>
        <i/>
        <sz val="12"/>
        <rFont val="Arial"/>
        <family val="2"/>
      </rPr>
      <t>Y</t>
    </r>
    <r>
      <rPr>
        <vertAlign val="subscript"/>
        <sz val="12"/>
        <rFont val="Arial"/>
        <family val="2"/>
      </rPr>
      <t>ANO</t>
    </r>
    <r>
      <rPr>
        <sz val="12"/>
        <rFont val="Arial"/>
        <family val="2"/>
      </rPr>
      <t>)*</t>
    </r>
    <r>
      <rPr>
        <i/>
        <sz val="12"/>
        <rFont val="Arial"/>
        <family val="2"/>
      </rPr>
      <t>i</t>
    </r>
    <r>
      <rPr>
        <vertAlign val="subscript"/>
        <sz val="12"/>
        <rFont val="Arial"/>
        <family val="2"/>
      </rPr>
      <t>Charge_SNHx</t>
    </r>
    <r>
      <rPr>
        <sz val="12"/>
        <rFont val="Arial"/>
        <family val="2"/>
      </rPr>
      <t>+(1/</t>
    </r>
    <r>
      <rPr>
        <i/>
        <sz val="12"/>
        <rFont val="Arial"/>
        <family val="2"/>
      </rPr>
      <t>Y</t>
    </r>
    <r>
      <rPr>
        <vertAlign val="subscript"/>
        <sz val="12"/>
        <rFont val="Arial"/>
        <family val="2"/>
      </rPr>
      <t>ANO</t>
    </r>
    <r>
      <rPr>
        <sz val="12"/>
        <rFont val="Arial"/>
        <family val="2"/>
      </rPr>
      <t>)*</t>
    </r>
    <r>
      <rPr>
        <i/>
        <sz val="12"/>
        <rFont val="Arial"/>
        <family val="2"/>
      </rPr>
      <t>i</t>
    </r>
    <r>
      <rPr>
        <vertAlign val="subscript"/>
        <sz val="12"/>
        <rFont val="Arial"/>
        <family val="2"/>
      </rPr>
      <t>Charge_SNOx</t>
    </r>
  </si>
  <si>
    <r>
      <t>μ</t>
    </r>
    <r>
      <rPr>
        <vertAlign val="subscript"/>
        <sz val="12"/>
        <color indexed="8"/>
        <rFont val="Arial"/>
        <family val="2"/>
      </rPr>
      <t>ANO,Max</t>
    </r>
    <r>
      <rPr>
        <sz val="12"/>
        <color indexed="8"/>
        <rFont val="Arial"/>
        <family val="2"/>
      </rPr>
      <t>*[</t>
    </r>
    <r>
      <rPr>
        <i/>
        <sz val="12"/>
        <color indexed="8"/>
        <rFont val="Arial"/>
        <family val="2"/>
      </rPr>
      <t>S</t>
    </r>
    <r>
      <rPr>
        <vertAlign val="subscript"/>
        <sz val="12"/>
        <color indexed="8"/>
        <rFont val="Arial"/>
        <family val="2"/>
      </rPr>
      <t>NHX</t>
    </r>
    <r>
      <rPr>
        <sz val="12"/>
        <color indexed="8"/>
        <rFont val="Arial"/>
        <family val="2"/>
      </rPr>
      <t>/(</t>
    </r>
    <r>
      <rPr>
        <i/>
        <sz val="12"/>
        <color indexed="8"/>
        <rFont val="Arial"/>
        <family val="2"/>
      </rPr>
      <t>K</t>
    </r>
    <r>
      <rPr>
        <vertAlign val="subscript"/>
        <sz val="12"/>
        <color indexed="8"/>
        <rFont val="Arial"/>
        <family val="2"/>
      </rPr>
      <t>NHx,ANO</t>
    </r>
    <r>
      <rPr>
        <sz val="12"/>
        <color indexed="8"/>
        <rFont val="Arial"/>
        <family val="2"/>
      </rPr>
      <t>+</t>
    </r>
    <r>
      <rPr>
        <i/>
        <sz val="12"/>
        <color indexed="8"/>
        <rFont val="Arial"/>
        <family val="2"/>
      </rPr>
      <t>S</t>
    </r>
    <r>
      <rPr>
        <vertAlign val="subscript"/>
        <sz val="12"/>
        <color indexed="8"/>
        <rFont val="Arial"/>
        <family val="2"/>
      </rPr>
      <t>NHX</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K</t>
    </r>
    <r>
      <rPr>
        <vertAlign val="subscript"/>
        <sz val="12"/>
        <color indexed="8"/>
        <rFont val="Arial"/>
        <family val="2"/>
      </rPr>
      <t>O2,ANO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X</t>
    </r>
    <r>
      <rPr>
        <vertAlign val="subscript"/>
        <sz val="12"/>
        <color indexed="8"/>
        <rFont val="Arial"/>
        <family val="2"/>
      </rPr>
      <t>ANO</t>
    </r>
  </si>
  <si>
    <r>
      <t>Conversion factor for N</t>
    </r>
    <r>
      <rPr>
        <vertAlign val="subscript"/>
        <sz val="11"/>
        <color indexed="8"/>
        <rFont val="Arial"/>
        <family val="2"/>
      </rPr>
      <t>2</t>
    </r>
    <r>
      <rPr>
        <sz val="11"/>
        <color indexed="8"/>
        <rFont val="Arial"/>
        <family val="2"/>
      </rPr>
      <t xml:space="preserve"> in COD</t>
    </r>
  </si>
  <si>
    <r>
      <t>i</t>
    </r>
    <r>
      <rPr>
        <vertAlign val="subscript"/>
        <sz val="12"/>
        <rFont val="Arial"/>
        <family val="2"/>
      </rPr>
      <t>COD_N2</t>
    </r>
  </si>
  <si>
    <r>
      <t>1-</t>
    </r>
    <r>
      <rPr>
        <i/>
        <sz val="12"/>
        <rFont val="Arial"/>
        <family val="2"/>
      </rPr>
      <t>f</t>
    </r>
    <r>
      <rPr>
        <vertAlign val="subscript"/>
        <sz val="12"/>
        <rFont val="Arial"/>
        <family val="2"/>
      </rPr>
      <t>XU_Bio,lys</t>
    </r>
  </si>
  <si>
    <r>
      <t>i</t>
    </r>
    <r>
      <rPr>
        <vertAlign val="subscript"/>
        <sz val="12"/>
        <rFont val="Arial"/>
        <family val="2"/>
      </rPr>
      <t>N_XBio</t>
    </r>
    <r>
      <rPr>
        <sz val="12"/>
        <rFont val="Arial"/>
        <family val="2"/>
      </rPr>
      <t>-</t>
    </r>
    <r>
      <rPr>
        <i/>
        <sz val="12"/>
        <rFont val="Arial"/>
        <family val="2"/>
      </rPr>
      <t>f</t>
    </r>
    <r>
      <rPr>
        <vertAlign val="subscript"/>
        <sz val="12"/>
        <rFont val="Arial"/>
        <family val="2"/>
      </rPr>
      <t>XU_Bio,lys</t>
    </r>
    <r>
      <rPr>
        <sz val="12"/>
        <rFont val="Arial"/>
        <family val="2"/>
      </rPr>
      <t>*</t>
    </r>
    <r>
      <rPr>
        <i/>
        <sz val="12"/>
        <rFont val="Arial"/>
        <family val="2"/>
      </rPr>
      <t>i</t>
    </r>
    <r>
      <rPr>
        <vertAlign val="subscript"/>
        <sz val="12"/>
        <rFont val="Arial"/>
        <family val="2"/>
      </rPr>
      <t>N_XUE</t>
    </r>
  </si>
  <si>
    <r>
      <t>b</t>
    </r>
    <r>
      <rPr>
        <vertAlign val="subscript"/>
        <sz val="12"/>
        <color indexed="8"/>
        <rFont val="Arial"/>
        <family val="2"/>
      </rPr>
      <t>OHO</t>
    </r>
    <r>
      <rPr>
        <sz val="12"/>
        <color indexed="8"/>
        <rFont val="Arial"/>
        <family val="2"/>
      </rPr>
      <t>*</t>
    </r>
    <r>
      <rPr>
        <i/>
        <sz val="12"/>
        <color indexed="8"/>
        <rFont val="Arial"/>
        <family val="2"/>
      </rPr>
      <t>X</t>
    </r>
    <r>
      <rPr>
        <vertAlign val="subscript"/>
        <sz val="12"/>
        <color indexed="8"/>
        <rFont val="Arial"/>
        <family val="2"/>
      </rPr>
      <t>OHO</t>
    </r>
  </si>
  <si>
    <r>
      <t>Conversion factor for NH</t>
    </r>
    <r>
      <rPr>
        <vertAlign val="subscript"/>
        <sz val="11"/>
        <color indexed="8"/>
        <rFont val="Arial"/>
        <family val="2"/>
      </rPr>
      <t>x</t>
    </r>
    <r>
      <rPr>
        <sz val="11"/>
        <color indexed="8"/>
        <rFont val="Arial"/>
        <family val="2"/>
      </rPr>
      <t xml:space="preserve"> in charge</t>
    </r>
  </si>
  <si>
    <r>
      <t>Charge.g N</t>
    </r>
    <r>
      <rPr>
        <vertAlign val="superscript"/>
        <sz val="8"/>
        <color indexed="8"/>
        <rFont val="Arial"/>
        <family val="2"/>
      </rPr>
      <t>-1</t>
    </r>
  </si>
  <si>
    <r>
      <t>b</t>
    </r>
    <r>
      <rPr>
        <vertAlign val="subscript"/>
        <sz val="12"/>
        <color indexed="8"/>
        <rFont val="Arial"/>
        <family val="2"/>
      </rPr>
      <t>ANO</t>
    </r>
    <r>
      <rPr>
        <sz val="12"/>
        <color indexed="8"/>
        <rFont val="Arial"/>
        <family val="2"/>
      </rPr>
      <t>*</t>
    </r>
    <r>
      <rPr>
        <i/>
        <sz val="12"/>
        <color indexed="8"/>
        <rFont val="Arial"/>
        <family val="2"/>
      </rPr>
      <t>X</t>
    </r>
    <r>
      <rPr>
        <vertAlign val="subscript"/>
        <sz val="12"/>
        <color indexed="8"/>
        <rFont val="Arial"/>
        <family val="2"/>
      </rPr>
      <t>ANO</t>
    </r>
  </si>
  <si>
    <r>
      <t>Conversion factor for NO</t>
    </r>
    <r>
      <rPr>
        <vertAlign val="subscript"/>
        <sz val="11"/>
        <color indexed="8"/>
        <rFont val="Arial"/>
        <family val="2"/>
      </rPr>
      <t>3</t>
    </r>
    <r>
      <rPr>
        <sz val="11"/>
        <color indexed="8"/>
        <rFont val="Arial"/>
        <family val="2"/>
      </rPr>
      <t xml:space="preserve"> in charge</t>
    </r>
  </si>
  <si>
    <r>
      <t>i</t>
    </r>
    <r>
      <rPr>
        <vertAlign val="subscript"/>
        <sz val="12"/>
        <rFont val="Arial"/>
        <family val="2"/>
      </rPr>
      <t>Charge_SNOx</t>
    </r>
  </si>
  <si>
    <r>
      <t>q</t>
    </r>
    <r>
      <rPr>
        <vertAlign val="subscript"/>
        <sz val="12"/>
        <color indexed="8"/>
        <rFont val="Arial"/>
        <family val="2"/>
      </rPr>
      <t>am</t>
    </r>
    <r>
      <rPr>
        <sz val="12"/>
        <color indexed="8"/>
        <rFont val="Arial"/>
        <family val="2"/>
      </rPr>
      <t>*</t>
    </r>
    <r>
      <rPr>
        <i/>
        <sz val="12"/>
        <color indexed="8"/>
        <rFont val="Arial"/>
        <family val="2"/>
      </rPr>
      <t>S</t>
    </r>
    <r>
      <rPr>
        <vertAlign val="subscript"/>
        <sz val="12"/>
        <color indexed="8"/>
        <rFont val="Arial"/>
        <family val="2"/>
      </rPr>
      <t>B,N</t>
    </r>
    <r>
      <rPr>
        <sz val="12"/>
        <color indexed="8"/>
        <rFont val="Arial"/>
        <family val="2"/>
      </rPr>
      <t>*</t>
    </r>
    <r>
      <rPr>
        <i/>
        <sz val="12"/>
        <color indexed="8"/>
        <rFont val="Arial"/>
        <family val="2"/>
      </rPr>
      <t>X</t>
    </r>
    <r>
      <rPr>
        <vertAlign val="subscript"/>
        <sz val="12"/>
        <color indexed="8"/>
        <rFont val="Arial"/>
        <family val="2"/>
      </rPr>
      <t>OHO</t>
    </r>
  </si>
  <si>
    <t>Kinetic</t>
  </si>
  <si>
    <t>Maximum specific hydrolysis rate</t>
  </si>
  <si>
    <r>
      <t>k</t>
    </r>
    <r>
      <rPr>
        <vertAlign val="subscript"/>
        <sz val="12"/>
        <rFont val="Arial"/>
        <family val="2"/>
      </rPr>
      <t>h</t>
    </r>
  </si>
  <si>
    <r>
      <t>q</t>
    </r>
    <r>
      <rPr>
        <vertAlign val="subscript"/>
        <sz val="12"/>
        <rFont val="Arial"/>
        <family val="2"/>
      </rPr>
      <t>XCB_SB,hyd</t>
    </r>
  </si>
  <si>
    <r>
      <t>g XC</t>
    </r>
    <r>
      <rPr>
        <vertAlign val="subscript"/>
        <sz val="8"/>
        <rFont val="Arial"/>
        <family val="2"/>
      </rPr>
      <t>B</t>
    </r>
    <r>
      <rPr>
        <sz val="8"/>
        <rFont val="Arial"/>
        <family val="2"/>
      </rPr>
      <t>.g X</t>
    </r>
    <r>
      <rPr>
        <vertAlign val="subscript"/>
        <sz val="8"/>
        <rFont val="Arial"/>
        <family val="2"/>
      </rPr>
      <t>OHO</t>
    </r>
    <r>
      <rPr>
        <vertAlign val="superscript"/>
        <sz val="8"/>
        <rFont val="Arial"/>
        <family val="2"/>
      </rPr>
      <t>-1</t>
    </r>
    <r>
      <rPr>
        <sz val="8"/>
        <rFont val="Arial"/>
        <family val="2"/>
      </rPr>
      <t>.d</t>
    </r>
    <r>
      <rPr>
        <vertAlign val="superscript"/>
        <sz val="10"/>
        <rFont val="Arial"/>
        <family val="2"/>
      </rPr>
      <t>-1</t>
    </r>
  </si>
  <si>
    <r>
      <t>q</t>
    </r>
    <r>
      <rPr>
        <vertAlign val="subscript"/>
        <sz val="12"/>
        <color indexed="8"/>
        <rFont val="Arial"/>
        <family val="2"/>
      </rPr>
      <t>XCB_SB,hyd</t>
    </r>
    <r>
      <rPr>
        <sz val="12"/>
        <color indexed="8"/>
        <rFont val="Arial"/>
        <family val="2"/>
      </rPr>
      <t>*[(</t>
    </r>
    <r>
      <rPr>
        <i/>
        <sz val="12"/>
        <color indexed="8"/>
        <rFont val="Arial"/>
        <family val="2"/>
      </rPr>
      <t>XC</t>
    </r>
    <r>
      <rPr>
        <vertAlign val="subscript"/>
        <sz val="12"/>
        <color indexed="8"/>
        <rFont val="Arial"/>
        <family val="2"/>
      </rPr>
      <t>B</t>
    </r>
    <r>
      <rPr>
        <sz val="12"/>
        <color indexed="8"/>
        <rFont val="Arial"/>
        <family val="2"/>
      </rPr>
      <t>/</t>
    </r>
    <r>
      <rPr>
        <i/>
        <sz val="12"/>
        <color indexed="8"/>
        <rFont val="Arial"/>
        <family val="2"/>
      </rPr>
      <t>X</t>
    </r>
    <r>
      <rPr>
        <vertAlign val="subscript"/>
        <sz val="12"/>
        <color indexed="8"/>
        <rFont val="Arial"/>
        <family val="2"/>
      </rPr>
      <t>OHO</t>
    </r>
    <r>
      <rPr>
        <sz val="12"/>
        <color indexed="8"/>
        <rFont val="Arial"/>
        <family val="2"/>
      </rPr>
      <t>)/(</t>
    </r>
    <r>
      <rPr>
        <i/>
        <sz val="12"/>
        <color indexed="8"/>
        <rFont val="Arial"/>
        <family val="2"/>
      </rPr>
      <t>K</t>
    </r>
    <r>
      <rPr>
        <vertAlign val="subscript"/>
        <sz val="12"/>
        <color indexed="8"/>
        <rFont val="Arial"/>
        <family val="2"/>
      </rPr>
      <t>XCB,hyd</t>
    </r>
    <r>
      <rPr>
        <sz val="12"/>
        <color indexed="8"/>
        <rFont val="Arial"/>
        <family val="2"/>
      </rPr>
      <t>+</t>
    </r>
    <r>
      <rPr>
        <i/>
        <sz val="12"/>
        <color indexed="8"/>
        <rFont val="Arial"/>
        <family val="2"/>
      </rPr>
      <t>XC</t>
    </r>
    <r>
      <rPr>
        <vertAlign val="subscript"/>
        <sz val="12"/>
        <color indexed="8"/>
        <rFont val="Arial"/>
        <family val="2"/>
      </rPr>
      <t>B</t>
    </r>
    <r>
      <rPr>
        <sz val="12"/>
        <color indexed="8"/>
        <rFont val="Arial"/>
        <family val="2"/>
      </rPr>
      <t>/</t>
    </r>
    <r>
      <rPr>
        <i/>
        <sz val="12"/>
        <color indexed="8"/>
        <rFont val="Arial"/>
        <family val="2"/>
      </rPr>
      <t>X</t>
    </r>
    <r>
      <rPr>
        <vertAlign val="subscript"/>
        <sz val="12"/>
        <color indexed="8"/>
        <rFont val="Arial"/>
        <family val="2"/>
      </rPr>
      <t>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n</t>
    </r>
    <r>
      <rPr>
        <vertAlign val="subscript"/>
        <sz val="12"/>
        <color indexed="8"/>
        <rFont val="Arial"/>
        <family val="2"/>
      </rPr>
      <t>qhyd,Ax</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S</t>
    </r>
    <r>
      <rPr>
        <vertAlign val="subscript"/>
        <sz val="12"/>
        <color indexed="8"/>
        <rFont val="Arial"/>
        <family val="2"/>
      </rPr>
      <t>NOx</t>
    </r>
    <r>
      <rPr>
        <sz val="12"/>
        <color indexed="8"/>
        <rFont val="Arial"/>
        <family val="2"/>
      </rPr>
      <t>/(</t>
    </r>
    <r>
      <rPr>
        <i/>
        <sz val="12"/>
        <color indexed="8"/>
        <rFont val="Arial"/>
        <family val="2"/>
      </rPr>
      <t>K</t>
    </r>
    <r>
      <rPr>
        <vertAlign val="subscript"/>
        <sz val="12"/>
        <color indexed="8"/>
        <rFont val="Arial"/>
        <family val="2"/>
      </rPr>
      <t>NOx,OHO</t>
    </r>
    <r>
      <rPr>
        <sz val="12"/>
        <color indexed="8"/>
        <rFont val="Arial"/>
        <family val="2"/>
      </rPr>
      <t>+</t>
    </r>
    <r>
      <rPr>
        <i/>
        <sz val="12"/>
        <color indexed="8"/>
        <rFont val="Arial"/>
        <family val="2"/>
      </rPr>
      <t>S</t>
    </r>
    <r>
      <rPr>
        <vertAlign val="subscript"/>
        <sz val="12"/>
        <color indexed="8"/>
        <rFont val="Arial"/>
        <family val="2"/>
      </rPr>
      <t>NOx</t>
    </r>
    <r>
      <rPr>
        <sz val="12"/>
        <color indexed="8"/>
        <rFont val="Arial"/>
        <family val="2"/>
      </rPr>
      <t>)])*</t>
    </r>
    <r>
      <rPr>
        <i/>
        <sz val="12"/>
        <color indexed="8"/>
        <rFont val="Arial"/>
        <family val="2"/>
      </rPr>
      <t>X</t>
    </r>
    <r>
      <rPr>
        <vertAlign val="subscript"/>
        <sz val="12"/>
        <color indexed="8"/>
        <rFont val="Arial"/>
        <family val="2"/>
      </rPr>
      <t>OHO</t>
    </r>
  </si>
  <si>
    <r>
      <t>Saturation coefficient for X</t>
    </r>
    <r>
      <rPr>
        <vertAlign val="subscript"/>
        <sz val="11"/>
        <rFont val="Arial"/>
        <family val="2"/>
      </rPr>
      <t>B</t>
    </r>
    <r>
      <rPr>
        <sz val="11"/>
        <rFont val="Arial"/>
        <family val="2"/>
      </rPr>
      <t>/X</t>
    </r>
    <r>
      <rPr>
        <vertAlign val="subscript"/>
        <sz val="11"/>
        <rFont val="Arial"/>
        <family val="2"/>
      </rPr>
      <t>OHO</t>
    </r>
  </si>
  <si>
    <r>
      <t>K</t>
    </r>
    <r>
      <rPr>
        <vertAlign val="subscript"/>
        <sz val="12"/>
        <rFont val="Arial"/>
        <family val="2"/>
      </rPr>
      <t>X</t>
    </r>
  </si>
  <si>
    <r>
      <t>K</t>
    </r>
    <r>
      <rPr>
        <vertAlign val="subscript"/>
        <sz val="12"/>
        <rFont val="Arial"/>
        <family val="2"/>
      </rPr>
      <t>XCB,hyd</t>
    </r>
  </si>
  <si>
    <r>
      <t>g XC</t>
    </r>
    <r>
      <rPr>
        <vertAlign val="subscript"/>
        <sz val="8"/>
        <rFont val="Arial"/>
        <family val="2"/>
      </rPr>
      <t>B</t>
    </r>
    <r>
      <rPr>
        <sz val="8"/>
        <rFont val="Arial"/>
        <family val="2"/>
      </rPr>
      <t>.g X</t>
    </r>
    <r>
      <rPr>
        <vertAlign val="subscript"/>
        <sz val="8"/>
        <rFont val="Arial"/>
        <family val="2"/>
      </rPr>
      <t>OHO</t>
    </r>
    <r>
      <rPr>
        <vertAlign val="superscript"/>
        <sz val="10"/>
        <rFont val="Arial"/>
        <family val="2"/>
      </rPr>
      <t>-1</t>
    </r>
  </si>
  <si>
    <r>
      <t>q</t>
    </r>
    <r>
      <rPr>
        <vertAlign val="subscript"/>
        <sz val="12"/>
        <color indexed="8"/>
        <rFont val="Arial"/>
        <family val="2"/>
      </rPr>
      <t>XCB_SB,hyd</t>
    </r>
    <r>
      <rPr>
        <sz val="12"/>
        <color indexed="8"/>
        <rFont val="Arial"/>
        <family val="2"/>
      </rPr>
      <t>*(</t>
    </r>
    <r>
      <rPr>
        <i/>
        <sz val="12"/>
        <color indexed="8"/>
        <rFont val="Arial"/>
        <family val="2"/>
      </rPr>
      <t>XC</t>
    </r>
    <r>
      <rPr>
        <vertAlign val="subscript"/>
        <sz val="12"/>
        <color indexed="8"/>
        <rFont val="Arial"/>
        <family val="2"/>
      </rPr>
      <t>B,N</t>
    </r>
    <r>
      <rPr>
        <sz val="12"/>
        <color indexed="8"/>
        <rFont val="Arial"/>
        <family val="2"/>
      </rPr>
      <t>/</t>
    </r>
    <r>
      <rPr>
        <i/>
        <sz val="12"/>
        <color indexed="8"/>
        <rFont val="Arial"/>
        <family val="2"/>
      </rPr>
      <t>XC</t>
    </r>
    <r>
      <rPr>
        <vertAlign val="subscript"/>
        <sz val="12"/>
        <color indexed="8"/>
        <rFont val="Arial"/>
        <family val="2"/>
      </rPr>
      <t>B</t>
    </r>
    <r>
      <rPr>
        <sz val="12"/>
        <color indexed="8"/>
        <rFont val="Arial"/>
        <family val="2"/>
      </rPr>
      <t>)*[(</t>
    </r>
    <r>
      <rPr>
        <i/>
        <sz val="12"/>
        <color indexed="8"/>
        <rFont val="Arial"/>
        <family val="2"/>
      </rPr>
      <t>XC</t>
    </r>
    <r>
      <rPr>
        <vertAlign val="subscript"/>
        <sz val="12"/>
        <color indexed="8"/>
        <rFont val="Arial"/>
        <family val="2"/>
      </rPr>
      <t>B</t>
    </r>
    <r>
      <rPr>
        <sz val="12"/>
        <color indexed="8"/>
        <rFont val="Arial"/>
        <family val="2"/>
      </rPr>
      <t>/</t>
    </r>
    <r>
      <rPr>
        <i/>
        <sz val="12"/>
        <color indexed="8"/>
        <rFont val="Arial"/>
        <family val="2"/>
      </rPr>
      <t>X</t>
    </r>
    <r>
      <rPr>
        <vertAlign val="subscript"/>
        <sz val="12"/>
        <color indexed="8"/>
        <rFont val="Arial"/>
        <family val="2"/>
      </rPr>
      <t>OHO</t>
    </r>
    <r>
      <rPr>
        <sz val="12"/>
        <color indexed="8"/>
        <rFont val="Arial"/>
        <family val="2"/>
      </rPr>
      <t>)/(</t>
    </r>
    <r>
      <rPr>
        <i/>
        <sz val="12"/>
        <color indexed="8"/>
        <rFont val="Arial"/>
        <family val="2"/>
      </rPr>
      <t>K</t>
    </r>
    <r>
      <rPr>
        <vertAlign val="subscript"/>
        <sz val="12"/>
        <color indexed="8"/>
        <rFont val="Arial"/>
        <family val="2"/>
      </rPr>
      <t>XCB,hyd</t>
    </r>
    <r>
      <rPr>
        <sz val="12"/>
        <color indexed="8"/>
        <rFont val="Arial"/>
        <family val="2"/>
      </rPr>
      <t>+</t>
    </r>
    <r>
      <rPr>
        <i/>
        <sz val="12"/>
        <color indexed="8"/>
        <rFont val="Arial"/>
        <family val="2"/>
      </rPr>
      <t>XC</t>
    </r>
    <r>
      <rPr>
        <vertAlign val="subscript"/>
        <sz val="12"/>
        <color indexed="8"/>
        <rFont val="Arial"/>
        <family val="2"/>
      </rPr>
      <t>B</t>
    </r>
    <r>
      <rPr>
        <sz val="12"/>
        <color indexed="8"/>
        <rFont val="Arial"/>
        <family val="2"/>
      </rPr>
      <t>/</t>
    </r>
    <r>
      <rPr>
        <i/>
        <sz val="12"/>
        <color indexed="8"/>
        <rFont val="Arial"/>
        <family val="2"/>
      </rPr>
      <t>X</t>
    </r>
    <r>
      <rPr>
        <vertAlign val="subscript"/>
        <sz val="12"/>
        <color indexed="8"/>
        <rFont val="Arial"/>
        <family val="2"/>
      </rPr>
      <t>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n</t>
    </r>
    <r>
      <rPr>
        <vertAlign val="subscript"/>
        <sz val="12"/>
        <color indexed="8"/>
        <rFont val="Arial"/>
        <family val="2"/>
      </rPr>
      <t>qhyd,Ax</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K</t>
    </r>
    <r>
      <rPr>
        <vertAlign val="subscript"/>
        <sz val="12"/>
        <color indexed="8"/>
        <rFont val="Arial"/>
        <family val="2"/>
      </rPr>
      <t>O2,OHO</t>
    </r>
    <r>
      <rPr>
        <sz val="12"/>
        <color indexed="8"/>
        <rFont val="Arial"/>
        <family val="2"/>
      </rPr>
      <t>+</t>
    </r>
    <r>
      <rPr>
        <i/>
        <sz val="12"/>
        <color indexed="8"/>
        <rFont val="Arial"/>
        <family val="2"/>
      </rPr>
      <t>S</t>
    </r>
    <r>
      <rPr>
        <vertAlign val="subscript"/>
        <sz val="12"/>
        <color indexed="8"/>
        <rFont val="Arial"/>
        <family val="2"/>
      </rPr>
      <t>O2</t>
    </r>
    <r>
      <rPr>
        <sz val="12"/>
        <color indexed="8"/>
        <rFont val="Arial"/>
        <family val="2"/>
      </rPr>
      <t>)]*[</t>
    </r>
    <r>
      <rPr>
        <i/>
        <sz val="12"/>
        <color indexed="8"/>
        <rFont val="Arial"/>
        <family val="2"/>
      </rPr>
      <t>S</t>
    </r>
    <r>
      <rPr>
        <vertAlign val="subscript"/>
        <sz val="12"/>
        <color indexed="8"/>
        <rFont val="Arial"/>
        <family val="2"/>
      </rPr>
      <t>NOx</t>
    </r>
    <r>
      <rPr>
        <sz val="12"/>
        <color indexed="8"/>
        <rFont val="Arial"/>
        <family val="2"/>
      </rPr>
      <t>/(</t>
    </r>
    <r>
      <rPr>
        <i/>
        <sz val="12"/>
        <color indexed="8"/>
        <rFont val="Arial"/>
        <family val="2"/>
      </rPr>
      <t>K</t>
    </r>
    <r>
      <rPr>
        <vertAlign val="subscript"/>
        <sz val="12"/>
        <color indexed="8"/>
        <rFont val="Arial"/>
        <family val="2"/>
      </rPr>
      <t>NOx,OHO</t>
    </r>
    <r>
      <rPr>
        <sz val="12"/>
        <color indexed="8"/>
        <rFont val="Arial"/>
        <family val="2"/>
      </rPr>
      <t>+</t>
    </r>
    <r>
      <rPr>
        <i/>
        <sz val="12"/>
        <color indexed="8"/>
        <rFont val="Arial"/>
        <family val="2"/>
      </rPr>
      <t>S</t>
    </r>
    <r>
      <rPr>
        <vertAlign val="subscript"/>
        <sz val="12"/>
        <color indexed="8"/>
        <rFont val="Arial"/>
        <family val="2"/>
      </rPr>
      <t>NOx</t>
    </r>
    <r>
      <rPr>
        <sz val="12"/>
        <color indexed="8"/>
        <rFont val="Arial"/>
        <family val="2"/>
      </rPr>
      <t>)])*</t>
    </r>
    <r>
      <rPr>
        <i/>
        <sz val="12"/>
        <color indexed="8"/>
        <rFont val="Arial"/>
        <family val="2"/>
      </rPr>
      <t>X</t>
    </r>
    <r>
      <rPr>
        <vertAlign val="subscript"/>
        <sz val="12"/>
        <color indexed="8"/>
        <rFont val="Arial"/>
        <family val="2"/>
      </rPr>
      <t>OHO</t>
    </r>
  </si>
  <si>
    <t>Correction factor for hydrolysis under anoxic conditions</t>
  </si>
  <si>
    <r>
      <t>η</t>
    </r>
    <r>
      <rPr>
        <vertAlign val="subscript"/>
        <sz val="12"/>
        <rFont val="Arial"/>
        <family val="2"/>
      </rPr>
      <t>h</t>
    </r>
  </si>
  <si>
    <r>
      <t>n</t>
    </r>
    <r>
      <rPr>
        <vertAlign val="subscript"/>
        <sz val="12"/>
        <rFont val="Arial"/>
        <family val="2"/>
      </rPr>
      <t>qhyd,Ax</t>
    </r>
  </si>
  <si>
    <t>-</t>
  </si>
  <si>
    <r>
      <t>Maximum growth rate of X</t>
    </r>
    <r>
      <rPr>
        <vertAlign val="subscript"/>
        <sz val="11"/>
        <rFont val="Arial"/>
        <family val="2"/>
      </rPr>
      <t>OHO</t>
    </r>
  </si>
  <si>
    <r>
      <t>μ</t>
    </r>
    <r>
      <rPr>
        <vertAlign val="subscript"/>
        <sz val="12"/>
        <rFont val="Arial"/>
        <family val="2"/>
      </rPr>
      <t>H</t>
    </r>
  </si>
  <si>
    <r>
      <t>μ</t>
    </r>
    <r>
      <rPr>
        <vertAlign val="subscript"/>
        <sz val="12"/>
        <rFont val="Arial"/>
        <family val="2"/>
      </rPr>
      <t>OHO,Max</t>
    </r>
  </si>
  <si>
    <r>
      <t>d</t>
    </r>
    <r>
      <rPr>
        <vertAlign val="superscript"/>
        <sz val="10"/>
        <rFont val="Arial"/>
        <family val="2"/>
      </rPr>
      <t>-1</t>
    </r>
  </si>
  <si>
    <r>
      <t>Reduction factor for anoxic growth of X</t>
    </r>
    <r>
      <rPr>
        <vertAlign val="subscript"/>
        <sz val="11"/>
        <rFont val="Arial"/>
        <family val="2"/>
      </rPr>
      <t>OHO</t>
    </r>
  </si>
  <si>
    <r>
      <t>η</t>
    </r>
    <r>
      <rPr>
        <vertAlign val="subscript"/>
        <sz val="12"/>
        <rFont val="Arial"/>
        <family val="2"/>
      </rPr>
      <t>g</t>
    </r>
  </si>
  <si>
    <r>
      <t>n</t>
    </r>
    <r>
      <rPr>
        <vertAlign val="subscript"/>
        <sz val="12"/>
        <rFont val="Arial"/>
        <family val="2"/>
      </rPr>
      <t>μOHO,Ax</t>
    </r>
  </si>
  <si>
    <r>
      <t>i</t>
    </r>
    <r>
      <rPr>
        <vertAlign val="subscript"/>
        <sz val="12"/>
        <color indexed="8"/>
        <rFont val="Arial"/>
        <family val="2"/>
      </rPr>
      <t>N_XBio</t>
    </r>
  </si>
  <si>
    <r>
      <t>i</t>
    </r>
    <r>
      <rPr>
        <vertAlign val="subscript"/>
        <sz val="12"/>
        <color indexed="8"/>
        <rFont val="Arial"/>
        <family val="2"/>
      </rPr>
      <t>N_XUE</t>
    </r>
  </si>
  <si>
    <r>
      <t>Half-saturation coefficient for S</t>
    </r>
    <r>
      <rPr>
        <vertAlign val="subscript"/>
        <sz val="11"/>
        <rFont val="Arial"/>
        <family val="2"/>
      </rPr>
      <t>B</t>
    </r>
  </si>
  <si>
    <r>
      <t>K</t>
    </r>
    <r>
      <rPr>
        <vertAlign val="subscript"/>
        <sz val="12"/>
        <rFont val="Arial"/>
        <family val="2"/>
      </rPr>
      <t>s</t>
    </r>
  </si>
  <si>
    <r>
      <t>K</t>
    </r>
    <r>
      <rPr>
        <vertAlign val="subscript"/>
        <sz val="12"/>
        <rFont val="Arial"/>
        <family val="2"/>
      </rPr>
      <t>SB,OHO</t>
    </r>
  </si>
  <si>
    <r>
      <t>g S</t>
    </r>
    <r>
      <rPr>
        <vertAlign val="subscript"/>
        <sz val="8"/>
        <rFont val="Arial"/>
        <family val="2"/>
      </rPr>
      <t>B</t>
    </r>
    <r>
      <rPr>
        <sz val="8"/>
        <rFont val="Arial"/>
        <family val="2"/>
      </rPr>
      <t>.m</t>
    </r>
    <r>
      <rPr>
        <vertAlign val="superscript"/>
        <sz val="10"/>
        <rFont val="Arial"/>
        <family val="2"/>
      </rPr>
      <t>-3</t>
    </r>
  </si>
  <si>
    <r>
      <t>Decay rate for X</t>
    </r>
    <r>
      <rPr>
        <vertAlign val="subscript"/>
        <sz val="11"/>
        <rFont val="Arial"/>
        <family val="2"/>
      </rPr>
      <t>OHO</t>
    </r>
  </si>
  <si>
    <r>
      <t>b</t>
    </r>
    <r>
      <rPr>
        <vertAlign val="subscript"/>
        <sz val="12"/>
        <rFont val="Arial"/>
        <family val="2"/>
      </rPr>
      <t>H</t>
    </r>
  </si>
  <si>
    <r>
      <t>b</t>
    </r>
    <r>
      <rPr>
        <vertAlign val="subscript"/>
        <sz val="12"/>
        <rFont val="Arial"/>
        <family val="2"/>
      </rPr>
      <t>OHO</t>
    </r>
  </si>
  <si>
    <r>
      <t>Half-saturation coefficient for S</t>
    </r>
    <r>
      <rPr>
        <vertAlign val="subscript"/>
        <sz val="11"/>
        <rFont val="Arial"/>
        <family val="2"/>
      </rPr>
      <t>O2</t>
    </r>
  </si>
  <si>
    <r>
      <t>K</t>
    </r>
    <r>
      <rPr>
        <vertAlign val="subscript"/>
        <sz val="12"/>
        <rFont val="Arial"/>
        <family val="2"/>
      </rPr>
      <t>O,H</t>
    </r>
  </si>
  <si>
    <r>
      <t>K</t>
    </r>
    <r>
      <rPr>
        <vertAlign val="subscript"/>
        <sz val="12"/>
        <rFont val="Arial"/>
        <family val="2"/>
      </rPr>
      <t>O2,OHO</t>
    </r>
  </si>
  <si>
    <r>
      <t>g S</t>
    </r>
    <r>
      <rPr>
        <vertAlign val="subscript"/>
        <sz val="8"/>
        <rFont val="Arial"/>
        <family val="2"/>
      </rPr>
      <t>O2</t>
    </r>
    <r>
      <rPr>
        <sz val="8"/>
        <rFont val="Arial"/>
        <family val="2"/>
      </rPr>
      <t>.m</t>
    </r>
    <r>
      <rPr>
        <vertAlign val="superscript"/>
        <sz val="10"/>
        <rFont val="Arial"/>
        <family val="2"/>
      </rPr>
      <t>-3</t>
    </r>
  </si>
  <si>
    <r>
      <t>Half-saturation coefficient for S</t>
    </r>
    <r>
      <rPr>
        <vertAlign val="subscript"/>
        <sz val="11"/>
        <rFont val="Arial"/>
        <family val="2"/>
      </rPr>
      <t>NOx</t>
    </r>
  </si>
  <si>
    <r>
      <t>K</t>
    </r>
    <r>
      <rPr>
        <vertAlign val="subscript"/>
        <sz val="12"/>
        <rFont val="Arial"/>
        <family val="2"/>
      </rPr>
      <t>NO</t>
    </r>
  </si>
  <si>
    <r>
      <t>K</t>
    </r>
    <r>
      <rPr>
        <vertAlign val="subscript"/>
        <sz val="12"/>
        <rFont val="Arial"/>
        <family val="2"/>
      </rPr>
      <t>NOx,OHO</t>
    </r>
  </si>
  <si>
    <r>
      <t>g S</t>
    </r>
    <r>
      <rPr>
        <vertAlign val="subscript"/>
        <sz val="8"/>
        <rFont val="Arial"/>
        <family val="2"/>
      </rPr>
      <t>NOx</t>
    </r>
    <r>
      <rPr>
        <sz val="8"/>
        <rFont val="Arial"/>
        <family val="2"/>
      </rPr>
      <t>.m</t>
    </r>
    <r>
      <rPr>
        <vertAlign val="superscript"/>
        <sz val="10"/>
        <rFont val="Arial"/>
        <family val="2"/>
      </rPr>
      <t>-3</t>
    </r>
  </si>
  <si>
    <t>Continuity check</t>
  </si>
  <si>
    <t>Half-saturation coefficient  for NH4*</t>
  </si>
  <si>
    <r>
      <t>K</t>
    </r>
    <r>
      <rPr>
        <vertAlign val="subscript"/>
        <sz val="12"/>
        <color indexed="10"/>
        <rFont val="Arial"/>
        <family val="2"/>
      </rPr>
      <t>NH,H</t>
    </r>
  </si>
  <si>
    <r>
      <t>K</t>
    </r>
    <r>
      <rPr>
        <vertAlign val="subscript"/>
        <sz val="12"/>
        <color indexed="10"/>
        <rFont val="Arial"/>
        <family val="2"/>
      </rPr>
      <t>NHx,OHO</t>
    </r>
  </si>
  <si>
    <r>
      <t>g S</t>
    </r>
    <r>
      <rPr>
        <b/>
        <vertAlign val="subscript"/>
        <sz val="8"/>
        <color indexed="10"/>
        <rFont val="Arial"/>
        <family val="2"/>
      </rPr>
      <t>NHx</t>
    </r>
    <r>
      <rPr>
        <b/>
        <sz val="8"/>
        <color indexed="10"/>
        <rFont val="Arial"/>
        <family val="2"/>
      </rPr>
      <t>.m</t>
    </r>
    <r>
      <rPr>
        <b/>
        <vertAlign val="superscript"/>
        <sz val="10"/>
        <color indexed="10"/>
        <rFont val="Arial"/>
        <family val="2"/>
      </rPr>
      <t>-3</t>
    </r>
  </si>
  <si>
    <r>
      <t>Maximum growth rate of X</t>
    </r>
    <r>
      <rPr>
        <vertAlign val="subscript"/>
        <sz val="11"/>
        <rFont val="Arial"/>
        <family val="2"/>
      </rPr>
      <t>ANO</t>
    </r>
  </si>
  <si>
    <r>
      <t>μ</t>
    </r>
    <r>
      <rPr>
        <vertAlign val="subscript"/>
        <sz val="12"/>
        <rFont val="Arial"/>
        <family val="2"/>
      </rPr>
      <t>A</t>
    </r>
  </si>
  <si>
    <r>
      <t>μ</t>
    </r>
    <r>
      <rPr>
        <vertAlign val="subscript"/>
        <sz val="12"/>
        <rFont val="Arial"/>
        <family val="2"/>
      </rPr>
      <t>ANO,Max</t>
    </r>
  </si>
  <si>
    <r>
      <t>Decay rate for X</t>
    </r>
    <r>
      <rPr>
        <vertAlign val="subscript"/>
        <sz val="11"/>
        <rFont val="Arial"/>
        <family val="2"/>
      </rPr>
      <t>ANO</t>
    </r>
  </si>
  <si>
    <r>
      <t>b</t>
    </r>
    <r>
      <rPr>
        <vertAlign val="subscript"/>
        <sz val="12"/>
        <rFont val="Arial"/>
        <family val="2"/>
      </rPr>
      <t>A</t>
    </r>
  </si>
  <si>
    <r>
      <t>b</t>
    </r>
    <r>
      <rPr>
        <vertAlign val="subscript"/>
        <sz val="12"/>
        <rFont val="Arial"/>
        <family val="2"/>
      </rPr>
      <t>ANO</t>
    </r>
  </si>
  <si>
    <t>Rate constant for ammonification</t>
  </si>
  <si>
    <r>
      <t>k</t>
    </r>
    <r>
      <rPr>
        <vertAlign val="subscript"/>
        <sz val="12"/>
        <rFont val="Arial"/>
        <family val="2"/>
      </rPr>
      <t>a</t>
    </r>
  </si>
  <si>
    <r>
      <t>q</t>
    </r>
    <r>
      <rPr>
        <vertAlign val="subscript"/>
        <sz val="12"/>
        <rFont val="Arial"/>
        <family val="2"/>
      </rPr>
      <t>am</t>
    </r>
  </si>
  <si>
    <r>
      <t>m</t>
    </r>
    <r>
      <rPr>
        <vertAlign val="superscript"/>
        <sz val="8"/>
        <rFont val="Arial"/>
        <family val="2"/>
      </rPr>
      <t>3</t>
    </r>
    <r>
      <rPr>
        <sz val="8"/>
        <rFont val="Arial"/>
        <family val="2"/>
      </rPr>
      <t>.g XC</t>
    </r>
    <r>
      <rPr>
        <vertAlign val="subscript"/>
        <sz val="8"/>
        <rFont val="Arial"/>
        <family val="2"/>
      </rPr>
      <t>B,N</t>
    </r>
    <r>
      <rPr>
        <vertAlign val="superscript"/>
        <sz val="8"/>
        <rFont val="Arial"/>
        <family val="2"/>
      </rPr>
      <t>-1</t>
    </r>
    <r>
      <rPr>
        <sz val="8"/>
        <rFont val="Arial"/>
        <family val="2"/>
      </rPr>
      <t>.d</t>
    </r>
    <r>
      <rPr>
        <vertAlign val="superscript"/>
        <sz val="10"/>
        <rFont val="Arial"/>
        <family val="2"/>
      </rPr>
      <t>-1</t>
    </r>
  </si>
  <si>
    <r>
      <t>S</t>
    </r>
    <r>
      <rPr>
        <vertAlign val="subscript"/>
        <sz val="10"/>
        <color indexed="8"/>
        <rFont val="Arial"/>
        <family val="2"/>
      </rPr>
      <t>_I</t>
    </r>
  </si>
  <si>
    <r>
      <t>K</t>
    </r>
    <r>
      <rPr>
        <vertAlign val="subscript"/>
        <sz val="12"/>
        <rFont val="Arial"/>
        <family val="2"/>
      </rPr>
      <t>O,A</t>
    </r>
  </si>
  <si>
    <r>
      <t>K</t>
    </r>
    <r>
      <rPr>
        <vertAlign val="subscript"/>
        <sz val="12"/>
        <rFont val="Arial"/>
        <family val="2"/>
      </rPr>
      <t>O2,ANO</t>
    </r>
  </si>
  <si>
    <r>
      <t>S</t>
    </r>
    <r>
      <rPr>
        <vertAlign val="subscript"/>
        <sz val="10"/>
        <color indexed="8"/>
        <rFont val="Arial"/>
        <family val="2"/>
      </rPr>
      <t>_S</t>
    </r>
  </si>
  <si>
    <r>
      <t>Half-saturation coefficient for S</t>
    </r>
    <r>
      <rPr>
        <vertAlign val="subscript"/>
        <sz val="11"/>
        <rFont val="Arial"/>
        <family val="2"/>
      </rPr>
      <t>NHx</t>
    </r>
  </si>
  <si>
    <r>
      <t>K</t>
    </r>
    <r>
      <rPr>
        <vertAlign val="subscript"/>
        <sz val="12"/>
        <rFont val="Arial"/>
        <family val="2"/>
      </rPr>
      <t>NH</t>
    </r>
  </si>
  <si>
    <r>
      <t>K</t>
    </r>
    <r>
      <rPr>
        <vertAlign val="subscript"/>
        <sz val="12"/>
        <rFont val="Arial"/>
        <family val="2"/>
      </rPr>
      <t>NHx,ANO</t>
    </r>
  </si>
  <si>
    <r>
      <t>g S</t>
    </r>
    <r>
      <rPr>
        <vertAlign val="subscript"/>
        <sz val="8"/>
        <rFont val="Arial"/>
        <family val="2"/>
      </rPr>
      <t>NHx</t>
    </r>
    <r>
      <rPr>
        <sz val="8"/>
        <rFont val="Arial"/>
        <family val="2"/>
      </rPr>
      <t>.m</t>
    </r>
    <r>
      <rPr>
        <vertAlign val="superscript"/>
        <sz val="10"/>
        <rFont val="Arial"/>
        <family val="2"/>
      </rPr>
      <t>-3</t>
    </r>
  </si>
  <si>
    <r>
      <t>X</t>
    </r>
    <r>
      <rPr>
        <vertAlign val="subscript"/>
        <sz val="10"/>
        <color indexed="8"/>
        <rFont val="Arial"/>
        <family val="2"/>
      </rPr>
      <t>_I</t>
    </r>
  </si>
  <si>
    <r>
      <t>X</t>
    </r>
    <r>
      <rPr>
        <vertAlign val="subscript"/>
        <sz val="10"/>
        <color indexed="8"/>
        <rFont val="Arial"/>
        <family val="2"/>
      </rPr>
      <t>_S</t>
    </r>
  </si>
  <si>
    <r>
      <t>*same K</t>
    </r>
    <r>
      <rPr>
        <b/>
        <vertAlign val="subscript"/>
        <sz val="11"/>
        <color indexed="10"/>
        <rFont val="Arial"/>
        <family val="2"/>
      </rPr>
      <t>NH,H</t>
    </r>
    <r>
      <rPr>
        <b/>
        <sz val="11"/>
        <color indexed="10"/>
        <rFont val="Arial"/>
        <family val="2"/>
      </rPr>
      <t xml:space="preserve"> value as ASM2d has been chosen</t>
    </r>
  </si>
  <si>
    <r>
      <t>X</t>
    </r>
    <r>
      <rPr>
        <vertAlign val="subscript"/>
        <sz val="10"/>
        <color indexed="8"/>
        <rFont val="Arial"/>
        <family val="2"/>
      </rPr>
      <t>_B.H</t>
    </r>
  </si>
  <si>
    <r>
      <t>X</t>
    </r>
    <r>
      <rPr>
        <vertAlign val="subscript"/>
        <sz val="10"/>
        <color indexed="8"/>
        <rFont val="Arial"/>
        <family val="2"/>
      </rPr>
      <t>_B.A</t>
    </r>
  </si>
  <si>
    <r>
      <t>X</t>
    </r>
    <r>
      <rPr>
        <vertAlign val="subscript"/>
        <sz val="10"/>
        <color indexed="8"/>
        <rFont val="Arial"/>
        <family val="2"/>
      </rPr>
      <t>_P</t>
    </r>
  </si>
  <si>
    <r>
      <t>S</t>
    </r>
    <r>
      <rPr>
        <vertAlign val="subscript"/>
        <sz val="10"/>
        <color indexed="8"/>
        <rFont val="Arial"/>
        <family val="2"/>
      </rPr>
      <t>_O</t>
    </r>
  </si>
  <si>
    <r>
      <t>S</t>
    </r>
    <r>
      <rPr>
        <vertAlign val="subscript"/>
        <sz val="10"/>
        <color indexed="8"/>
        <rFont val="Arial"/>
        <family val="2"/>
      </rPr>
      <t>_NO</t>
    </r>
  </si>
  <si>
    <r>
      <t>S</t>
    </r>
    <r>
      <rPr>
        <vertAlign val="subscript"/>
        <sz val="10"/>
        <color indexed="8"/>
        <rFont val="Arial"/>
        <family val="2"/>
      </rPr>
      <t>_NH</t>
    </r>
  </si>
  <si>
    <r>
      <t>S</t>
    </r>
    <r>
      <rPr>
        <vertAlign val="subscript"/>
        <sz val="10"/>
        <color indexed="8"/>
        <rFont val="Arial"/>
        <family val="2"/>
      </rPr>
      <t>_ND</t>
    </r>
  </si>
  <si>
    <r>
      <t>X</t>
    </r>
    <r>
      <rPr>
        <vertAlign val="subscript"/>
        <sz val="10"/>
        <color indexed="8"/>
        <rFont val="Arial"/>
        <family val="2"/>
      </rPr>
      <t>_ND</t>
    </r>
  </si>
  <si>
    <r>
      <t>S</t>
    </r>
    <r>
      <rPr>
        <vertAlign val="subscript"/>
        <sz val="10"/>
        <color indexed="8"/>
        <rFont val="Arial"/>
        <family val="2"/>
      </rPr>
      <t>_ALK</t>
    </r>
  </si>
  <si>
    <r>
      <t>S</t>
    </r>
    <r>
      <rPr>
        <vertAlign val="subscript"/>
        <sz val="10"/>
        <color indexed="8"/>
        <rFont val="Arial"/>
        <family val="2"/>
      </rPr>
      <t>_N2</t>
    </r>
  </si>
  <si>
    <t>Kinetic checking matrix</t>
  </si>
  <si>
    <t>Component Function</t>
  </si>
  <si>
    <t>Consequence on the kinetic rate</t>
  </si>
  <si>
    <t>Consumed component (every state variable with a negative sign)</t>
  </si>
  <si>
    <t>Limitation monod function</t>
  </si>
  <si>
    <t>Biomass involved in the process</t>
  </si>
  <si>
    <t>proportional to the biomass concentration</t>
  </si>
  <si>
    <t>Other required component</t>
  </si>
  <si>
    <t>Inhibitory component</t>
  </si>
  <si>
    <t>Inhibitory monod function</t>
  </si>
  <si>
    <t xml:space="preserve">Components </t>
  </si>
  <si>
    <t>S_I</t>
  </si>
  <si>
    <t>S_S</t>
  </si>
  <si>
    <t>X_I</t>
  </si>
  <si>
    <t>X_S</t>
  </si>
  <si>
    <t>X_B.H</t>
  </si>
  <si>
    <t>X_B.A</t>
  </si>
  <si>
    <t>X_P</t>
  </si>
  <si>
    <t>S_O</t>
  </si>
  <si>
    <t>S_NO</t>
  </si>
  <si>
    <t>S_NH</t>
  </si>
  <si>
    <t>S_ND</t>
  </si>
  <si>
    <t>X_ND</t>
  </si>
  <si>
    <t>S_ALK</t>
  </si>
  <si>
    <t>S_N2</t>
  </si>
  <si>
    <t>*</t>
  </si>
  <si>
    <t>* Missing kinetic terms that have not been corrected (please refer to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</si>
</sst>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87" x14ac:knownFonts="1">
    <font>
      <sz val="11"/>
      <color theme="1"/>
      <name val="Calibri"/>
      <family val="2"/>
      <scheme val="minor"/>
    </font>
    <font>
      <sz val="10"/>
      <name val="Arial"/>
    </font>
    <font>
      <sz val="11"/>
      <color indexed="8"/>
      <name val="Arial"/>
      <family val="2"/>
    </font>
    <font>
      <b/>
      <sz val="14"/>
      <color indexed="8"/>
      <name val="Arial"/>
      <family val="2"/>
    </font>
    <font>
      <sz val="10"/>
      <color indexed="8"/>
      <name val="Arial"/>
      <family val="2"/>
    </font>
    <font>
      <vertAlign val="subscript"/>
      <sz val="10"/>
      <color indexed="8"/>
      <name val="Arial"/>
      <family val="2"/>
    </font>
    <font>
      <b/>
      <sz val="10"/>
      <color indexed="8"/>
      <name val="Arial"/>
      <family val="2"/>
    </font>
    <font>
      <b/>
      <sz val="11"/>
      <color indexed="8"/>
      <name val="Arial"/>
      <family val="2"/>
    </font>
    <font>
      <b/>
      <sz val="26"/>
      <color indexed="8"/>
      <name val="Arial"/>
      <family val="2"/>
    </font>
    <font>
      <b/>
      <sz val="24"/>
      <color indexed="9"/>
      <name val="Arial"/>
      <family val="2"/>
    </font>
    <font>
      <b/>
      <sz val="14"/>
      <color indexed="9"/>
      <name val="Arial"/>
      <family val="2"/>
    </font>
    <font>
      <b/>
      <sz val="14"/>
      <color indexed="57"/>
      <name val="Arial"/>
      <family val="2"/>
    </font>
    <font>
      <b/>
      <sz val="14"/>
      <color indexed="12"/>
      <name val="Arial"/>
      <family val="2"/>
    </font>
    <font>
      <b/>
      <sz val="14"/>
      <color indexed="10"/>
      <name val="Arial"/>
      <family val="2"/>
    </font>
    <font>
      <sz val="12"/>
      <name val="Arial"/>
      <family val="2"/>
    </font>
    <font>
      <vertAlign val="subscript"/>
      <sz val="12"/>
      <color indexed="8"/>
      <name val="Arial"/>
      <family val="2"/>
    </font>
    <font>
      <i/>
      <sz val="12"/>
      <color indexed="8"/>
      <name val="Arial"/>
      <family val="2"/>
    </font>
    <font>
      <vertAlign val="subscript"/>
      <sz val="12"/>
      <color indexed="10"/>
      <name val="Arial"/>
      <family val="2"/>
    </font>
    <font>
      <i/>
      <sz val="12"/>
      <color indexed="10"/>
      <name val="Arial"/>
      <family val="2"/>
    </font>
    <font>
      <sz val="12"/>
      <color indexed="8"/>
      <name val="Arial"/>
      <family val="2"/>
    </font>
    <font>
      <sz val="20"/>
      <color indexed="8"/>
      <name val="Arial"/>
      <family val="2"/>
    </font>
    <font>
      <vertAlign val="subscript"/>
      <sz val="12"/>
      <name val="Arial"/>
      <family val="2"/>
    </font>
    <font>
      <i/>
      <sz val="12"/>
      <name val="Arial"/>
      <family val="2"/>
    </font>
    <font>
      <vertAlign val="superscript"/>
      <sz val="8"/>
      <name val="Arial"/>
      <family val="2"/>
    </font>
    <font>
      <sz val="8"/>
      <name val="Arial"/>
      <family val="2"/>
    </font>
    <font>
      <sz val="12"/>
      <color indexed="10"/>
      <name val="Arial"/>
      <family val="2"/>
    </font>
    <font>
      <b/>
      <sz val="11"/>
      <name val="Arial"/>
      <family val="2"/>
    </font>
    <font>
      <vertAlign val="subscript"/>
      <sz val="11"/>
      <color indexed="8"/>
      <name val="Arial"/>
      <family val="2"/>
    </font>
    <font>
      <vertAlign val="subscript"/>
      <sz val="11"/>
      <name val="Arial"/>
      <family val="2"/>
    </font>
    <font>
      <sz val="11"/>
      <name val="Arial"/>
      <family val="2"/>
    </font>
    <font>
      <vertAlign val="superscript"/>
      <sz val="10"/>
      <name val="Arial"/>
      <family val="2"/>
    </font>
    <font>
      <vertAlign val="subscript"/>
      <sz val="8"/>
      <name val="Arial"/>
      <family val="2"/>
    </font>
    <font>
      <vertAlign val="superscript"/>
      <sz val="8"/>
      <color indexed="8"/>
      <name val="Arial"/>
      <family val="2"/>
    </font>
    <font>
      <sz val="8"/>
      <color indexed="8"/>
      <name val="Arial"/>
      <family val="2"/>
    </font>
    <font>
      <sz val="10"/>
      <name val="Arial"/>
      <family val="2"/>
    </font>
    <font>
      <b/>
      <sz val="12"/>
      <color indexed="10"/>
      <name val="Arial"/>
      <family val="2"/>
    </font>
    <font>
      <b/>
      <sz val="10"/>
      <color indexed="10"/>
      <name val="Arial"/>
      <family val="2"/>
    </font>
    <font>
      <b/>
      <vertAlign val="subscript"/>
      <sz val="8"/>
      <color indexed="10"/>
      <name val="Arial"/>
      <family val="2"/>
    </font>
    <font>
      <b/>
      <sz val="8"/>
      <color indexed="10"/>
      <name val="Arial"/>
      <family val="2"/>
    </font>
    <font>
      <b/>
      <vertAlign val="superscript"/>
      <sz val="10"/>
      <color indexed="10"/>
      <name val="Arial"/>
      <family val="2"/>
    </font>
    <font>
      <b/>
      <sz val="12"/>
      <color indexed="8"/>
      <name val="Arial"/>
      <family val="2"/>
    </font>
    <font>
      <b/>
      <vertAlign val="subscript"/>
      <sz val="11"/>
      <color indexed="10"/>
      <name val="Arial"/>
      <family val="2"/>
    </font>
    <font>
      <b/>
      <sz val="11"/>
      <color indexed="10"/>
      <name val="Arial"/>
      <family val="2"/>
    </font>
    <font>
      <i/>
      <sz val="10"/>
      <name val="Arial"/>
      <family val="2"/>
    </font>
    <font>
      <b/>
      <sz val="10"/>
      <name val="Arial"/>
      <family val="2"/>
    </font>
    <font>
      <b/>
      <vertAlign val="subscript"/>
      <sz val="12"/>
      <color indexed="8"/>
      <name val="Arial"/>
      <family val="2"/>
    </font>
    <font>
      <b/>
      <vertAlign val="subscript"/>
      <sz val="12"/>
      <name val="Arial"/>
      <family val="2"/>
    </font>
    <font>
      <b/>
      <vertAlign val="subscript"/>
      <sz val="12"/>
      <color indexed="10"/>
      <name val="Arial"/>
      <family val="2"/>
    </font>
    <font>
      <vertAlign val="superscript"/>
      <sz val="11"/>
      <name val="Arial"/>
      <family val="2"/>
    </font>
    <font>
      <sz val="11"/>
      <color indexed="8"/>
      <name val="Calibri"/>
      <family val="2"/>
      <charset val="238"/>
    </font>
    <font>
      <sz val="11"/>
      <color indexed="9"/>
      <name val="Calibri"/>
      <family val="2"/>
      <charset val="238"/>
    </font>
    <font>
      <sz val="11"/>
      <color indexed="62"/>
      <name val="Calibri"/>
      <family val="2"/>
      <charset val="238"/>
    </font>
    <font>
      <b/>
      <sz val="18"/>
      <color indexed="56"/>
      <name val="Cambria"/>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sz val="11"/>
      <color indexed="9"/>
      <name val="Calibri"/>
      <family val="2"/>
      <charset val="238"/>
    </font>
    <font>
      <sz val="11"/>
      <color indexed="10"/>
      <name val="Calibri"/>
      <family val="2"/>
      <charset val="238"/>
    </font>
    <font>
      <sz val="11"/>
      <color indexed="52"/>
      <name val="Calibri"/>
      <family val="2"/>
      <charset val="238"/>
    </font>
    <font>
      <sz val="10"/>
      <name val="Arial"/>
      <family val="2"/>
      <charset val="238"/>
    </font>
    <font>
      <sz val="11"/>
      <color indexed="17"/>
      <name val="Calibri"/>
      <family val="2"/>
      <charset val="238"/>
    </font>
    <font>
      <b/>
      <sz val="11"/>
      <color indexed="63"/>
      <name val="Calibri"/>
      <family val="2"/>
      <charset val="238"/>
    </font>
    <font>
      <i/>
      <sz val="11"/>
      <color indexed="23"/>
      <name val="Calibri"/>
      <family val="2"/>
      <charset val="238"/>
    </font>
    <font>
      <b/>
      <sz val="11"/>
      <color indexed="8"/>
      <name val="Calibri"/>
      <family val="2"/>
      <charset val="238"/>
    </font>
    <font>
      <sz val="11"/>
      <color indexed="20"/>
      <name val="Calibri"/>
      <family val="2"/>
      <charset val="238"/>
    </font>
    <font>
      <sz val="11"/>
      <color indexed="60"/>
      <name val="Calibri"/>
      <family val="2"/>
      <charset val="238"/>
    </font>
    <font>
      <b/>
      <sz val="11"/>
      <color indexed="52"/>
      <name val="Calibri"/>
      <family val="2"/>
      <charset val="238"/>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b/>
      <i/>
      <sz val="12"/>
      <name val="Arial"/>
      <family val="2"/>
    </font>
    <font>
      <b/>
      <i/>
      <sz val="12"/>
      <color indexed="8"/>
      <name val="Arial"/>
      <family val="2"/>
    </font>
    <font>
      <b/>
      <i/>
      <sz val="12"/>
      <color indexed="10"/>
      <name val="Arial"/>
      <family val="2"/>
    </font>
  </fonts>
  <fills count="37">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55"/>
      </patternFill>
    </fill>
    <fill>
      <patternFill patternType="solid">
        <fgColor indexed="9"/>
        <bgColor indexed="64"/>
      </patternFill>
    </fill>
    <fill>
      <patternFill patternType="solid">
        <fgColor indexed="44"/>
        <bgColor indexed="64"/>
      </patternFill>
    </fill>
    <fill>
      <patternFill patternType="solid">
        <fgColor indexed="45"/>
        <bgColor indexed="64"/>
      </patternFill>
    </fill>
    <fill>
      <patternFill patternType="solid">
        <fgColor indexed="47"/>
        <bgColor indexed="64"/>
      </patternFill>
    </fill>
    <fill>
      <patternFill patternType="solid">
        <fgColor indexed="51"/>
        <bgColor indexed="64"/>
      </patternFill>
    </fill>
    <fill>
      <patternFill patternType="solid">
        <fgColor indexed="22"/>
        <bgColor indexed="64"/>
      </patternFill>
    </fill>
    <fill>
      <patternFill patternType="solid">
        <fgColor indexed="43"/>
        <bgColor indexed="64"/>
      </patternFill>
    </fill>
    <fill>
      <patternFill patternType="solid">
        <fgColor indexed="11"/>
        <bgColor indexed="64"/>
      </patternFill>
    </fill>
    <fill>
      <patternFill patternType="solid">
        <fgColor indexed="40"/>
        <bgColor indexed="64"/>
      </patternFill>
    </fill>
    <fill>
      <patternFill patternType="solid">
        <fgColor indexed="13"/>
        <bgColor indexed="64"/>
      </patternFill>
    </fill>
    <fill>
      <patternFill patternType="solid">
        <fgColor indexed="10"/>
        <bgColor indexed="64"/>
      </patternFill>
    </fill>
    <fill>
      <patternFill patternType="solid">
        <fgColor indexed="46"/>
        <bgColor indexed="64"/>
      </patternFill>
    </fill>
    <fill>
      <patternFill patternType="solid">
        <fgColor indexed="55"/>
        <bgColor indexed="64"/>
      </patternFill>
    </fill>
  </fills>
  <borders count="56">
    <border>
      <left/>
      <right/>
      <top/>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medium">
        <color indexed="64"/>
      </right>
      <top/>
      <bottom/>
      <diagonal/>
    </border>
  </borders>
  <cellStyleXfs count="89">
    <xf numFmtId="0" fontId="0" fillId="0" borderId="0"/>
    <xf numFmtId="0" fontId="1" fillId="0" borderId="0"/>
    <xf numFmtId="0" fontId="67" fillId="5" borderId="0" applyNumberFormat="0" applyBorder="0" applyAlignment="0" applyProtection="0"/>
    <xf numFmtId="0" fontId="67" fillId="12" borderId="0" applyNumberFormat="0" applyBorder="0" applyAlignment="0" applyProtection="0"/>
    <xf numFmtId="0" fontId="67" fillId="6" borderId="0" applyNumberFormat="0" applyBorder="0" applyAlignment="0" applyProtection="0"/>
    <xf numFmtId="0" fontId="67" fillId="13"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49" fillId="5" borderId="0" applyNumberFormat="0" applyBorder="0" applyAlignment="0" applyProtection="0"/>
    <xf numFmtId="0" fontId="49" fillId="12" borderId="0" applyNumberFormat="0" applyBorder="0" applyAlignment="0" applyProtection="0"/>
    <xf numFmtId="0" fontId="49" fillId="6" borderId="0" applyNumberFormat="0" applyBorder="0" applyAlignment="0" applyProtection="0"/>
    <xf numFmtId="0" fontId="49" fillId="13" borderId="0" applyNumberFormat="0" applyBorder="0" applyAlignment="0" applyProtection="0"/>
    <xf numFmtId="0" fontId="49" fillId="2" borderId="0" applyNumberFormat="0" applyBorder="0" applyAlignment="0" applyProtection="0"/>
    <xf numFmtId="0" fontId="49" fillId="3" borderId="0" applyNumberFormat="0" applyBorder="0" applyAlignment="0" applyProtection="0"/>
    <xf numFmtId="0" fontId="67" fillId="7" borderId="0" applyNumberFormat="0" applyBorder="0" applyAlignment="0" applyProtection="0"/>
    <xf numFmtId="0" fontId="67" fillId="14" borderId="0" applyNumberFormat="0" applyBorder="0" applyAlignment="0" applyProtection="0"/>
    <xf numFmtId="0" fontId="67" fillId="15" borderId="0" applyNumberFormat="0" applyBorder="0" applyAlignment="0" applyProtection="0"/>
    <xf numFmtId="0" fontId="67" fillId="13" borderId="0" applyNumberFormat="0" applyBorder="0" applyAlignment="0" applyProtection="0"/>
    <xf numFmtId="0" fontId="67" fillId="7" borderId="0" applyNumberFormat="0" applyBorder="0" applyAlignment="0" applyProtection="0"/>
    <xf numFmtId="0" fontId="67" fillId="16" borderId="0" applyNumberFormat="0" applyBorder="0" applyAlignment="0" applyProtection="0"/>
    <xf numFmtId="0" fontId="49" fillId="7" borderId="0" applyNumberFormat="0" applyBorder="0" applyAlignment="0" applyProtection="0"/>
    <xf numFmtId="0" fontId="49" fillId="14" borderId="0" applyNumberFormat="0" applyBorder="0" applyAlignment="0" applyProtection="0"/>
    <xf numFmtId="0" fontId="49" fillId="15" borderId="0" applyNumberFormat="0" applyBorder="0" applyAlignment="0" applyProtection="0"/>
    <xf numFmtId="0" fontId="49" fillId="13" borderId="0" applyNumberFormat="0" applyBorder="0" applyAlignment="0" applyProtection="0"/>
    <xf numFmtId="0" fontId="49" fillId="7" borderId="0" applyNumberFormat="0" applyBorder="0" applyAlignment="0" applyProtection="0"/>
    <xf numFmtId="0" fontId="49" fillId="16" borderId="0" applyNumberFormat="0" applyBorder="0" applyAlignment="0" applyProtection="0"/>
    <xf numFmtId="0" fontId="68" fillId="17"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8" borderId="0" applyNumberFormat="0" applyBorder="0" applyAlignment="0" applyProtection="0"/>
    <xf numFmtId="0" fontId="68" fillId="10" borderId="0" applyNumberFormat="0" applyBorder="0" applyAlignment="0" applyProtection="0"/>
    <xf numFmtId="0" fontId="68" fillId="19" borderId="0" applyNumberFormat="0" applyBorder="0" applyAlignment="0" applyProtection="0"/>
    <xf numFmtId="0" fontId="50" fillId="17" borderId="0" applyNumberFormat="0" applyBorder="0" applyAlignment="0" applyProtection="0"/>
    <xf numFmtId="0" fontId="50" fillId="14" borderId="0" applyNumberFormat="0" applyBorder="0" applyAlignment="0" applyProtection="0"/>
    <xf numFmtId="0" fontId="50" fillId="15" borderId="0" applyNumberFormat="0" applyBorder="0" applyAlignment="0" applyProtection="0"/>
    <xf numFmtId="0" fontId="50" fillId="18" borderId="0" applyNumberFormat="0" applyBorder="0" applyAlignment="0" applyProtection="0"/>
    <xf numFmtId="0" fontId="50" fillId="10" borderId="0" applyNumberFormat="0" applyBorder="0" applyAlignment="0" applyProtection="0"/>
    <xf numFmtId="0" fontId="50" fillId="19" borderId="0" applyNumberFormat="0" applyBorder="0" applyAlignment="0" applyProtection="0"/>
    <xf numFmtId="0" fontId="68" fillId="20" borderId="0" applyNumberFormat="0" applyBorder="0" applyAlignment="0" applyProtection="0"/>
    <xf numFmtId="0" fontId="68" fillId="21" borderId="0" applyNumberFormat="0" applyBorder="0" applyAlignment="0" applyProtection="0"/>
    <xf numFmtId="0" fontId="68" fillId="11" borderId="0" applyNumberFormat="0" applyBorder="0" applyAlignment="0" applyProtection="0"/>
    <xf numFmtId="0" fontId="68" fillId="18" borderId="0" applyNumberFormat="0" applyBorder="0" applyAlignment="0" applyProtection="0"/>
    <xf numFmtId="0" fontId="68" fillId="10" borderId="0" applyNumberFormat="0" applyBorder="0" applyAlignment="0" applyProtection="0"/>
    <xf numFmtId="0" fontId="68" fillId="22" borderId="0" applyNumberFormat="0" applyBorder="0" applyAlignment="0" applyProtection="0"/>
    <xf numFmtId="0" fontId="69" fillId="0" borderId="0" applyNumberFormat="0" applyFill="0" applyBorder="0" applyAlignment="0" applyProtection="0"/>
    <xf numFmtId="0" fontId="51" fillId="3" borderId="2" applyNumberFormat="0" applyAlignment="0" applyProtection="0"/>
    <xf numFmtId="0" fontId="70" fillId="8" borderId="2" applyNumberFormat="0" applyAlignment="0" applyProtection="0"/>
    <xf numFmtId="0" fontId="71" fillId="0" borderId="1" applyNumberFormat="0" applyFill="0" applyAlignment="0" applyProtection="0"/>
    <xf numFmtId="0" fontId="52" fillId="0" borderId="0" applyNumberFormat="0" applyFill="0" applyBorder="0" applyAlignment="0" applyProtection="0"/>
    <xf numFmtId="0" fontId="53" fillId="0" borderId="3" applyNumberFormat="0" applyFill="0" applyAlignment="0" applyProtection="0"/>
    <xf numFmtId="0" fontId="54" fillId="0" borderId="4" applyNumberFormat="0" applyFill="0" applyAlignment="0" applyProtection="0"/>
    <xf numFmtId="0" fontId="55" fillId="0" borderId="5" applyNumberFormat="0" applyFill="0" applyAlignment="0" applyProtection="0"/>
    <xf numFmtId="0" fontId="55" fillId="0" borderId="0" applyNumberFormat="0" applyFill="0" applyBorder="0" applyAlignment="0" applyProtection="0"/>
    <xf numFmtId="0" fontId="1" fillId="4" borderId="6" applyNumberFormat="0" applyFont="0" applyAlignment="0" applyProtection="0"/>
    <xf numFmtId="0" fontId="56" fillId="23" borderId="8" applyNumberFormat="0" applyAlignment="0" applyProtection="0"/>
    <xf numFmtId="0" fontId="72" fillId="3" borderId="2" applyNumberFormat="0" applyAlignment="0" applyProtection="0"/>
    <xf numFmtId="0" fontId="57" fillId="0" borderId="0" applyNumberFormat="0" applyFill="0" applyBorder="0" applyAlignment="0" applyProtection="0"/>
    <xf numFmtId="0" fontId="58" fillId="0" borderId="1" applyNumberFormat="0" applyFill="0" applyAlignment="0" applyProtection="0"/>
    <xf numFmtId="0" fontId="73" fillId="12" borderId="0" applyNumberFormat="0" applyBorder="0" applyAlignment="0" applyProtection="0"/>
    <xf numFmtId="0" fontId="59" fillId="4" borderId="6" applyNumberFormat="0" applyFont="0" applyAlignment="0" applyProtection="0"/>
    <xf numFmtId="0" fontId="50" fillId="20" borderId="0" applyNumberFormat="0" applyBorder="0" applyAlignment="0" applyProtection="0"/>
    <xf numFmtId="0" fontId="50" fillId="21" borderId="0" applyNumberFormat="0" applyBorder="0" applyAlignment="0" applyProtection="0"/>
    <xf numFmtId="0" fontId="50" fillId="11" borderId="0" applyNumberFormat="0" applyBorder="0" applyAlignment="0" applyProtection="0"/>
    <xf numFmtId="0" fontId="50" fillId="18" borderId="0" applyNumberFormat="0" applyBorder="0" applyAlignment="0" applyProtection="0"/>
    <xf numFmtId="0" fontId="50" fillId="10" borderId="0" applyNumberFormat="0" applyBorder="0" applyAlignment="0" applyProtection="0"/>
    <xf numFmtId="0" fontId="50" fillId="22" borderId="0" applyNumberFormat="0" applyBorder="0" applyAlignment="0" applyProtection="0"/>
    <xf numFmtId="0" fontId="60" fillId="6" borderId="0" applyNumberFormat="0" applyBorder="0" applyAlignment="0" applyProtection="0"/>
    <xf numFmtId="0" fontId="61" fillId="8" borderId="7" applyNumberFormat="0" applyAlignment="0" applyProtection="0"/>
    <xf numFmtId="0" fontId="62" fillId="0" borderId="0" applyNumberFormat="0" applyFill="0" applyBorder="0" applyAlignment="0" applyProtection="0"/>
    <xf numFmtId="0" fontId="74" fillId="9" borderId="0" applyNumberFormat="0" applyBorder="0" applyAlignment="0" applyProtection="0"/>
    <xf numFmtId="0" fontId="67" fillId="0" borderId="0"/>
    <xf numFmtId="0" fontId="1" fillId="0" borderId="0"/>
    <xf numFmtId="0" fontId="34" fillId="0" borderId="0"/>
    <xf numFmtId="0" fontId="59" fillId="0" borderId="0"/>
    <xf numFmtId="0" fontId="34" fillId="0" borderId="0"/>
    <xf numFmtId="0" fontId="63" fillId="0" borderId="9" applyNumberFormat="0" applyFill="0" applyAlignment="0" applyProtection="0"/>
    <xf numFmtId="0" fontId="64" fillId="12" borderId="0" applyNumberFormat="0" applyBorder="0" applyAlignment="0" applyProtection="0"/>
    <xf numFmtId="0" fontId="75" fillId="6" borderId="0" applyNumberFormat="0" applyBorder="0" applyAlignment="0" applyProtection="0"/>
    <xf numFmtId="0" fontId="65" fillId="9" borderId="0" applyNumberFormat="0" applyBorder="0" applyAlignment="0" applyProtection="0"/>
    <xf numFmtId="0" fontId="76" fillId="8" borderId="7" applyNumberFormat="0" applyAlignment="0" applyProtection="0"/>
    <xf numFmtId="0" fontId="66" fillId="8" borderId="2" applyNumberFormat="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9" fillId="0" borderId="3" applyNumberFormat="0" applyFill="0" applyAlignment="0" applyProtection="0"/>
    <xf numFmtId="0" fontId="80" fillId="0" borderId="4" applyNumberFormat="0" applyFill="0" applyAlignment="0" applyProtection="0"/>
    <xf numFmtId="0" fontId="81" fillId="0" borderId="5" applyNumberFormat="0" applyFill="0" applyAlignment="0" applyProtection="0"/>
    <xf numFmtId="0" fontId="81" fillId="0" borderId="0" applyNumberFormat="0" applyFill="0" applyBorder="0" applyAlignment="0" applyProtection="0"/>
    <xf numFmtId="0" fontId="82" fillId="0" borderId="9" applyNumberFormat="0" applyFill="0" applyAlignment="0" applyProtection="0"/>
    <xf numFmtId="0" fontId="83" fillId="23" borderId="8" applyNumberFormat="0" applyAlignment="0" applyProtection="0"/>
  </cellStyleXfs>
  <cellXfs count="269">
    <xf numFmtId="0" fontId="0" fillId="0" borderId="0" xfId="0"/>
    <xf numFmtId="0" fontId="14" fillId="25" borderId="20" xfId="72" applyFont="1" applyFill="1" applyBorder="1" applyAlignment="1">
      <alignment horizontal="center" vertical="center" wrapText="1"/>
    </xf>
    <xf numFmtId="2" fontId="14" fillId="25" borderId="20" xfId="72" applyNumberFormat="1" applyFont="1" applyFill="1" applyBorder="1" applyAlignment="1">
      <alignment horizontal="center" vertical="center" wrapText="1"/>
    </xf>
    <xf numFmtId="168" fontId="14" fillId="25" borderId="20" xfId="72" quotePrefix="1" applyNumberFormat="1" applyFont="1" applyFill="1" applyBorder="1" applyAlignment="1">
      <alignment horizontal="center" vertical="center" wrapText="1"/>
    </xf>
    <xf numFmtId="168" fontId="25" fillId="25" borderId="22" xfId="72" applyNumberFormat="1" applyFont="1" applyFill="1" applyBorder="1" applyAlignment="1">
      <alignment horizontal="center" vertical="center" wrapText="1"/>
    </xf>
    <xf numFmtId="2" fontId="14" fillId="25" borderId="20" xfId="72" quotePrefix="1" applyNumberFormat="1" applyFont="1" applyFill="1" applyBorder="1" applyAlignment="1">
      <alignment horizontal="center" vertical="center" wrapText="1"/>
    </xf>
    <xf numFmtId="0" fontId="14" fillId="26" borderId="20" xfId="72" applyFont="1" applyFill="1" applyBorder="1" applyAlignment="1">
      <alignment horizontal="center" vertical="center" wrapText="1"/>
    </xf>
    <xf numFmtId="2" fontId="14" fillId="26" borderId="20" xfId="72" quotePrefix="1" applyNumberFormat="1" applyFont="1" applyFill="1" applyBorder="1" applyAlignment="1">
      <alignment horizontal="center" vertical="center" wrapText="1"/>
    </xf>
    <xf numFmtId="2" fontId="14" fillId="26" borderId="20" xfId="72" applyNumberFormat="1" applyFont="1" applyFill="1" applyBorder="1" applyAlignment="1">
      <alignment horizontal="center" vertical="center" wrapText="1"/>
    </xf>
    <xf numFmtId="2" fontId="25" fillId="26" borderId="22" xfId="72" applyNumberFormat="1" applyFont="1" applyFill="1" applyBorder="1" applyAlignment="1">
      <alignment horizontal="center" vertical="center" wrapText="1"/>
    </xf>
    <xf numFmtId="0" fontId="25" fillId="25" borderId="22" xfId="72" applyFont="1" applyFill="1" applyBorder="1" applyAlignment="1">
      <alignment horizontal="center" vertical="center" wrapText="1"/>
    </xf>
    <xf numFmtId="0" fontId="25" fillId="26" borderId="22" xfId="72" applyFont="1" applyFill="1" applyBorder="1" applyAlignment="1">
      <alignment horizontal="center" vertical="center" wrapText="1"/>
    </xf>
    <xf numFmtId="0" fontId="14" fillId="27" borderId="20" xfId="72" applyFont="1" applyFill="1" applyBorder="1" applyAlignment="1">
      <alignment horizontal="center" vertical="center" wrapText="1"/>
    </xf>
    <xf numFmtId="2" fontId="22" fillId="27" borderId="20" xfId="72" applyNumberFormat="1" applyFont="1" applyFill="1" applyBorder="1" applyAlignment="1">
      <alignment horizontal="center" vertical="center" wrapText="1"/>
    </xf>
    <xf numFmtId="2" fontId="25" fillId="27" borderId="22" xfId="72" applyNumberFormat="1" applyFont="1" applyFill="1" applyBorder="1" applyAlignment="1">
      <alignment horizontal="center" vertical="center" wrapText="1"/>
    </xf>
    <xf numFmtId="0" fontId="25" fillId="27" borderId="22" xfId="72" applyFont="1" applyFill="1" applyBorder="1" applyAlignment="1">
      <alignment horizontal="center" vertical="center" wrapText="1"/>
    </xf>
    <xf numFmtId="0" fontId="14" fillId="27" borderId="25" xfId="72" applyFont="1" applyFill="1" applyBorder="1" applyAlignment="1">
      <alignment horizontal="center" vertical="center" wrapText="1"/>
    </xf>
    <xf numFmtId="0" fontId="25" fillId="27" borderId="52" xfId="72" applyFont="1" applyFill="1" applyBorder="1" applyAlignment="1">
      <alignment horizontal="center" vertical="center" wrapText="1"/>
    </xf>
    <xf numFmtId="0" fontId="19" fillId="28" borderId="15" xfId="72" applyFont="1" applyFill="1" applyBorder="1" applyAlignment="1">
      <alignment horizontal="center" vertical="center"/>
    </xf>
    <xf numFmtId="0" fontId="19" fillId="28" borderId="15" xfId="72" applyFont="1" applyFill="1" applyBorder="1" applyAlignment="1">
      <alignment horizontal="center"/>
    </xf>
    <xf numFmtId="2" fontId="16" fillId="28" borderId="15" xfId="72" applyNumberFormat="1" applyFont="1" applyFill="1" applyBorder="1" applyAlignment="1">
      <alignment horizontal="center"/>
    </xf>
    <xf numFmtId="0" fontId="19" fillId="28" borderId="20" xfId="72" applyFont="1" applyFill="1" applyBorder="1" applyAlignment="1">
      <alignment horizontal="center"/>
    </xf>
    <xf numFmtId="0" fontId="25" fillId="28" borderId="45" xfId="72" applyFont="1" applyFill="1" applyBorder="1" applyAlignment="1">
      <alignment horizontal="center"/>
    </xf>
    <xf numFmtId="0" fontId="19" fillId="28" borderId="25" xfId="72" applyFont="1" applyFill="1" applyBorder="1" applyAlignment="1">
      <alignment horizontal="center"/>
    </xf>
    <xf numFmtId="168" fontId="16" fillId="28" borderId="25" xfId="72" applyNumberFormat="1" applyFont="1" applyFill="1" applyBorder="1" applyAlignment="1">
      <alignment horizontal="center"/>
    </xf>
    <xf numFmtId="0" fontId="25" fillId="28" borderId="50" xfId="72" applyFont="1" applyFill="1" applyBorder="1" applyAlignment="1">
      <alignment horizontal="center"/>
    </xf>
    <xf numFmtId="0" fontId="35" fillId="28" borderId="45" xfId="72" applyFont="1" applyFill="1" applyBorder="1" applyAlignment="1">
      <alignment horizontal="center"/>
    </xf>
    <xf numFmtId="0" fontId="35" fillId="28" borderId="50" xfId="72" applyFont="1" applyFill="1" applyBorder="1" applyAlignment="1">
      <alignment horizontal="center"/>
    </xf>
    <xf numFmtId="0" fontId="14" fillId="0" borderId="0" xfId="71" applyFont="1" applyAlignment="1">
      <alignment horizontal="left"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xf>
    <xf numFmtId="0" fontId="8" fillId="0" borderId="11" xfId="0" applyFont="1" applyBorder="1" applyAlignment="1">
      <alignment horizontal="center" vertical="center"/>
    </xf>
    <xf numFmtId="0" fontId="8" fillId="0" borderId="13" xfId="0" applyFont="1" applyBorder="1" applyAlignment="1">
      <alignment horizontal="center" vertical="center"/>
    </xf>
    <xf numFmtId="0" fontId="8" fillId="0" borderId="49" xfId="0" applyFont="1" applyBorder="1" applyAlignment="1">
      <alignment horizontal="center" vertical="center"/>
    </xf>
    <xf numFmtId="0" fontId="9" fillId="36" borderId="11" xfId="0" applyFont="1" applyFill="1" applyBorder="1" applyAlignment="1">
      <alignment horizontal="center" vertical="center"/>
    </xf>
    <xf numFmtId="0" fontId="9" fillId="36" borderId="13" xfId="0" applyFont="1" applyFill="1" applyBorder="1" applyAlignment="1">
      <alignment horizontal="center" vertical="center"/>
    </xf>
    <xf numFmtId="0" fontId="9" fillId="36" borderId="49" xfId="0" applyFont="1" applyFill="1" applyBorder="1" applyAlignment="1">
      <alignment horizontal="center" vertical="center"/>
    </xf>
    <xf numFmtId="0" fontId="10" fillId="36" borderId="11" xfId="0" applyFont="1" applyFill="1" applyBorder="1" applyAlignment="1">
      <alignment horizontal="center" vertical="center"/>
    </xf>
    <xf numFmtId="0" fontId="10" fillId="36" borderId="49" xfId="0" applyFont="1" applyFill="1" applyBorder="1" applyAlignment="1">
      <alignment horizontal="center" vertical="center"/>
    </xf>
    <xf numFmtId="0" fontId="2" fillId="0" borderId="11" xfId="0" applyFont="1" applyBorder="1" applyAlignment="1">
      <alignment horizontal="left" vertical="center" wrapText="1"/>
    </xf>
    <xf numFmtId="0" fontId="2" fillId="0" borderId="13" xfId="0" applyFont="1" applyBorder="1" applyAlignment="1">
      <alignment horizontal="left" vertical="center" wrapText="1"/>
    </xf>
    <xf numFmtId="0" fontId="2" fillId="0" borderId="49" xfId="0" applyFont="1" applyBorder="1" applyAlignment="1">
      <alignment horizontal="left" vertical="center" wrapText="1"/>
    </xf>
    <xf numFmtId="0" fontId="2" fillId="0" borderId="0" xfId="0" applyFont="1" applyAlignment="1">
      <alignment vertical="center" wrapText="1"/>
    </xf>
    <xf numFmtId="0" fontId="4"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10" fillId="36" borderId="13" xfId="0" applyFont="1" applyFill="1" applyBorder="1" applyAlignment="1">
      <alignment horizontal="center" vertical="center"/>
    </xf>
    <xf numFmtId="0" fontId="13"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49" xfId="0" applyFont="1" applyBorder="1" applyAlignment="1">
      <alignment horizontal="center" vertical="center"/>
    </xf>
    <xf numFmtId="0" fontId="2" fillId="0" borderId="10" xfId="0" applyFont="1" applyBorder="1"/>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84" fillId="0" borderId="54" xfId="73" applyFont="1" applyBorder="1" applyAlignment="1">
      <alignment horizontal="center" vertical="center"/>
    </xf>
    <xf numFmtId="0" fontId="86" fillId="0" borderId="54" xfId="70" applyFont="1" applyBorder="1" applyAlignment="1">
      <alignment horizontal="center" vertical="center" wrapText="1"/>
    </xf>
    <xf numFmtId="0" fontId="19" fillId="35" borderId="42" xfId="0" applyFont="1" applyFill="1" applyBorder="1" applyAlignment="1">
      <alignment horizontal="center" vertical="center" wrapText="1"/>
    </xf>
    <xf numFmtId="0" fontId="16" fillId="35" borderId="37" xfId="0" applyFont="1" applyFill="1" applyBorder="1" applyAlignment="1">
      <alignment horizontal="center" vertical="center" wrapText="1"/>
    </xf>
    <xf numFmtId="0" fontId="16" fillId="35" borderId="43" xfId="0" applyFont="1" applyFill="1" applyBorder="1" applyAlignment="1">
      <alignment horizontal="center" vertical="center" wrapText="1"/>
    </xf>
    <xf numFmtId="0" fontId="20" fillId="0" borderId="31" xfId="0" applyFont="1" applyBorder="1" applyAlignment="1">
      <alignment horizontal="center" vertical="center" textRotation="90"/>
    </xf>
    <xf numFmtId="0" fontId="2" fillId="0" borderId="16" xfId="0" applyFont="1" applyBorder="1" applyAlignment="1">
      <alignment vertical="center"/>
    </xf>
    <xf numFmtId="0" fontId="22" fillId="0" borderId="17" xfId="0" applyFont="1" applyBorder="1" applyAlignment="1">
      <alignment horizontal="center" vertical="center"/>
    </xf>
    <xf numFmtId="0" fontId="22" fillId="24" borderId="18" xfId="0" applyFont="1" applyFill="1" applyBorder="1" applyAlignment="1">
      <alignment horizontal="center" vertical="center"/>
    </xf>
    <xf numFmtId="0" fontId="24" fillId="24" borderId="17" xfId="0" applyFont="1" applyFill="1" applyBorder="1" applyAlignment="1">
      <alignment horizontal="center" vertical="center"/>
    </xf>
    <xf numFmtId="0" fontId="2" fillId="0" borderId="16" xfId="0" applyFont="1" applyBorder="1" applyAlignment="1">
      <alignment horizontal="center" vertical="center"/>
    </xf>
    <xf numFmtId="0" fontId="7" fillId="25" borderId="19" xfId="0" applyFont="1" applyFill="1" applyBorder="1" applyAlignment="1">
      <alignment horizontal="center" vertical="center" wrapText="1"/>
    </xf>
    <xf numFmtId="0" fontId="7" fillId="25" borderId="20" xfId="0" applyFont="1" applyFill="1" applyBorder="1" applyAlignment="1">
      <alignment horizontal="left" vertical="center" wrapText="1"/>
    </xf>
    <xf numFmtId="0" fontId="16" fillId="35" borderId="44" xfId="72" applyFont="1" applyFill="1" applyBorder="1" applyAlignment="1">
      <alignment horizontal="center" vertical="center" wrapText="1"/>
    </xf>
    <xf numFmtId="0" fontId="16" fillId="35" borderId="18" xfId="72" applyFont="1" applyFill="1" applyBorder="1" applyAlignment="1">
      <alignment horizontal="center" vertical="center" wrapText="1"/>
    </xf>
    <xf numFmtId="0" fontId="16" fillId="35" borderId="32" xfId="72" applyFont="1" applyFill="1" applyBorder="1" applyAlignment="1">
      <alignment horizontal="center" vertical="center" wrapText="1"/>
    </xf>
    <xf numFmtId="0" fontId="20" fillId="0" borderId="53" xfId="0" applyFont="1" applyBorder="1" applyAlignment="1">
      <alignment horizontal="center" vertical="center" textRotation="90"/>
    </xf>
    <xf numFmtId="0" fontId="2" fillId="0" borderId="21" xfId="0" applyFont="1" applyBorder="1" applyAlignment="1">
      <alignment vertical="center"/>
    </xf>
    <xf numFmtId="0" fontId="22" fillId="0" borderId="21" xfId="0" applyFont="1" applyBorder="1" applyAlignment="1">
      <alignment horizontal="center" vertical="center"/>
    </xf>
    <xf numFmtId="0" fontId="24" fillId="24" borderId="21" xfId="0" applyFont="1" applyFill="1" applyBorder="1" applyAlignment="1">
      <alignment horizontal="center" vertical="center"/>
    </xf>
    <xf numFmtId="0" fontId="2" fillId="0" borderId="21" xfId="0" applyFont="1" applyBorder="1" applyAlignment="1">
      <alignment horizontal="center" vertical="center"/>
    </xf>
    <xf numFmtId="0" fontId="22" fillId="24" borderId="22" xfId="0" applyFont="1" applyFill="1" applyBorder="1" applyAlignment="1">
      <alignment horizontal="center" vertical="center"/>
    </xf>
    <xf numFmtId="0" fontId="24" fillId="24" borderId="21" xfId="0" quotePrefix="1" applyFont="1" applyFill="1" applyBorder="1" applyAlignment="1">
      <alignment horizontal="center" vertical="center"/>
    </xf>
    <xf numFmtId="0" fontId="7" fillId="26" borderId="19" xfId="0" applyFont="1" applyFill="1" applyBorder="1" applyAlignment="1">
      <alignment horizontal="center" vertical="center" wrapText="1"/>
    </xf>
    <xf numFmtId="0" fontId="7" fillId="26" borderId="20" xfId="0" applyFont="1" applyFill="1" applyBorder="1" applyAlignment="1">
      <alignment horizontal="left" vertical="center" wrapText="1"/>
    </xf>
    <xf numFmtId="0" fontId="22" fillId="0" borderId="16" xfId="0" applyFont="1" applyBorder="1" applyAlignment="1">
      <alignment horizontal="center" vertical="center"/>
    </xf>
    <xf numFmtId="0" fontId="26" fillId="25" borderId="19" xfId="0" applyFont="1" applyFill="1" applyBorder="1" applyAlignment="1">
      <alignment horizontal="center" vertical="center" wrapText="1"/>
    </xf>
    <xf numFmtId="0" fontId="26" fillId="25" borderId="20" xfId="0" applyFont="1" applyFill="1" applyBorder="1" applyAlignment="1">
      <alignment horizontal="left" vertical="center" wrapText="1"/>
    </xf>
    <xf numFmtId="0" fontId="22" fillId="25" borderId="20" xfId="72" applyFont="1" applyFill="1" applyBorder="1" applyAlignment="1">
      <alignment horizontal="center" vertical="center" wrapText="1"/>
    </xf>
    <xf numFmtId="0" fontId="22" fillId="26" borderId="20" xfId="72" applyFont="1" applyFill="1" applyBorder="1" applyAlignment="1">
      <alignment horizontal="center" vertical="center" wrapText="1"/>
    </xf>
    <xf numFmtId="0" fontId="7" fillId="27" borderId="19" xfId="0" applyFont="1" applyFill="1" applyBorder="1" applyAlignment="1">
      <alignment horizontal="center" vertical="center" wrapText="1"/>
    </xf>
    <xf numFmtId="0" fontId="7" fillId="27" borderId="20" xfId="0" applyFont="1" applyFill="1" applyBorder="1" applyAlignment="1">
      <alignment horizontal="left" vertical="center" wrapText="1"/>
    </xf>
    <xf numFmtId="0" fontId="29" fillId="24" borderId="23" xfId="0" applyFont="1" applyFill="1" applyBorder="1" applyAlignment="1">
      <alignment vertical="center"/>
    </xf>
    <xf numFmtId="0" fontId="7" fillId="27" borderId="24" xfId="0" applyFont="1" applyFill="1" applyBorder="1" applyAlignment="1">
      <alignment horizontal="center" vertical="center" wrapText="1"/>
    </xf>
    <xf numFmtId="0" fontId="7" fillId="27" borderId="25" xfId="0" applyFont="1" applyFill="1" applyBorder="1" applyAlignment="1">
      <alignment horizontal="left" vertical="center" wrapText="1"/>
    </xf>
    <xf numFmtId="0" fontId="16" fillId="35" borderId="28" xfId="72" applyFont="1" applyFill="1" applyBorder="1" applyAlignment="1">
      <alignment horizontal="center" vertical="center" wrapText="1"/>
    </xf>
    <xf numFmtId="0" fontId="16" fillId="35" borderId="39" xfId="72" applyFont="1" applyFill="1" applyBorder="1" applyAlignment="1">
      <alignment horizontal="center" vertical="center" wrapText="1"/>
    </xf>
    <xf numFmtId="0" fontId="16" fillId="35" borderId="38" xfId="72" applyFont="1" applyFill="1" applyBorder="1" applyAlignment="1">
      <alignment horizontal="center" vertical="center" wrapText="1"/>
    </xf>
    <xf numFmtId="0" fontId="3" fillId="28" borderId="51" xfId="0" applyFont="1" applyFill="1" applyBorder="1" applyAlignment="1">
      <alignment horizontal="center" vertical="center"/>
    </xf>
    <xf numFmtId="0" fontId="3" fillId="28" borderId="0" xfId="0" applyFont="1" applyFill="1" applyAlignment="1">
      <alignment horizontal="center" vertical="center"/>
    </xf>
    <xf numFmtId="0" fontId="3" fillId="28" borderId="55" xfId="0" applyFont="1" applyFill="1" applyBorder="1" applyAlignment="1">
      <alignment horizontal="center" vertical="center"/>
    </xf>
    <xf numFmtId="0" fontId="7" fillId="28" borderId="26" xfId="0" applyFont="1" applyFill="1" applyBorder="1" applyAlignment="1">
      <alignment horizontal="center" vertical="center"/>
    </xf>
    <xf numFmtId="0" fontId="18" fillId="28" borderId="48" xfId="72" applyFont="1" applyFill="1" applyBorder="1" applyAlignment="1">
      <alignment horizontal="center"/>
    </xf>
    <xf numFmtId="0" fontId="7" fillId="28" borderId="19" xfId="0" applyFont="1" applyFill="1" applyBorder="1" applyAlignment="1">
      <alignment horizontal="center" vertical="center"/>
    </xf>
    <xf numFmtId="0" fontId="16" fillId="28" borderId="20" xfId="72" applyFont="1" applyFill="1" applyBorder="1" applyAlignment="1">
      <alignment horizontal="center"/>
    </xf>
    <xf numFmtId="0" fontId="7" fillId="28" borderId="24" xfId="0" applyFont="1" applyFill="1" applyBorder="1" applyAlignment="1">
      <alignment horizontal="center" vertical="center"/>
    </xf>
    <xf numFmtId="0" fontId="20" fillId="0" borderId="46" xfId="0" applyFont="1" applyBorder="1" applyAlignment="1">
      <alignment horizontal="center" vertical="center" textRotation="90"/>
    </xf>
    <xf numFmtId="0" fontId="2" fillId="0" borderId="27" xfId="0" applyFont="1" applyBorder="1" applyAlignment="1">
      <alignment vertical="center"/>
    </xf>
    <xf numFmtId="0" fontId="22" fillId="0" borderId="27" xfId="0" applyFont="1" applyBorder="1" applyAlignment="1">
      <alignment horizontal="center" vertical="center"/>
    </xf>
    <xf numFmtId="0" fontId="22" fillId="24" borderId="28" xfId="0" applyFont="1" applyFill="1" applyBorder="1" applyAlignment="1">
      <alignment horizontal="center" vertical="center"/>
    </xf>
    <xf numFmtId="0" fontId="24" fillId="24" borderId="27" xfId="0" applyFont="1" applyFill="1" applyBorder="1" applyAlignment="1">
      <alignment horizontal="center" vertical="center"/>
    </xf>
    <xf numFmtId="0" fontId="2" fillId="0" borderId="27" xfId="0" applyFont="1" applyBorder="1" applyAlignment="1">
      <alignment horizontal="center" vertical="center"/>
    </xf>
    <xf numFmtId="0" fontId="29" fillId="25" borderId="29" xfId="0" applyFont="1" applyFill="1" applyBorder="1" applyAlignment="1">
      <alignment horizontal="left"/>
    </xf>
    <xf numFmtId="0" fontId="22" fillId="25" borderId="16" xfId="0" applyFont="1" applyFill="1" applyBorder="1" applyAlignment="1">
      <alignment horizontal="center" vertical="center"/>
    </xf>
    <xf numFmtId="0" fontId="22" fillId="25" borderId="17" xfId="0" applyFont="1" applyFill="1" applyBorder="1" applyAlignment="1">
      <alignment horizontal="center" vertical="center"/>
    </xf>
    <xf numFmtId="0" fontId="24" fillId="25" borderId="29" xfId="0" applyFont="1" applyFill="1" applyBorder="1" applyAlignment="1">
      <alignment horizontal="center" vertical="center"/>
    </xf>
    <xf numFmtId="0" fontId="4" fillId="25" borderId="16" xfId="0" applyFont="1" applyFill="1" applyBorder="1" applyAlignment="1">
      <alignment horizontal="center" vertical="center"/>
    </xf>
    <xf numFmtId="0" fontId="29" fillId="29" borderId="23" xfId="0" applyFont="1" applyFill="1" applyBorder="1" applyAlignment="1">
      <alignment horizontal="left"/>
    </xf>
    <xf numFmtId="0" fontId="22" fillId="29" borderId="21" xfId="0" applyFont="1" applyFill="1" applyBorder="1" applyAlignment="1">
      <alignment horizontal="center" vertical="center"/>
    </xf>
    <xf numFmtId="0" fontId="22" fillId="29" borderId="23" xfId="0" applyFont="1" applyFill="1" applyBorder="1" applyAlignment="1">
      <alignment horizontal="center" vertical="center"/>
    </xf>
    <xf numFmtId="0" fontId="24" fillId="29" borderId="21" xfId="0" applyFont="1" applyFill="1" applyBorder="1" applyAlignment="1">
      <alignment horizontal="center" vertical="center"/>
    </xf>
    <xf numFmtId="0" fontId="4" fillId="29" borderId="21" xfId="0" applyFont="1" applyFill="1" applyBorder="1" applyAlignment="1">
      <alignment horizontal="center" vertical="center"/>
    </xf>
    <xf numFmtId="0" fontId="29" fillId="26" borderId="20" xfId="0" applyFont="1" applyFill="1" applyBorder="1"/>
    <xf numFmtId="0" fontId="22" fillId="26" borderId="16" xfId="0" applyFont="1" applyFill="1" applyBorder="1" applyAlignment="1">
      <alignment horizontal="center" vertical="center"/>
    </xf>
    <xf numFmtId="0" fontId="22" fillId="26" borderId="23" xfId="0" applyFont="1" applyFill="1" applyBorder="1" applyAlignment="1">
      <alignment horizontal="center" vertical="center"/>
    </xf>
    <xf numFmtId="0" fontId="24" fillId="26" borderId="21" xfId="0" applyFont="1" applyFill="1" applyBorder="1" applyAlignment="1">
      <alignment horizontal="center" vertical="center"/>
    </xf>
    <xf numFmtId="0" fontId="4" fillId="26" borderId="16" xfId="0" applyFont="1" applyFill="1" applyBorder="1" applyAlignment="1">
      <alignment horizontal="center" vertical="center"/>
    </xf>
    <xf numFmtId="0" fontId="29" fillId="30" borderId="20" xfId="0" applyFont="1" applyFill="1" applyBorder="1"/>
    <xf numFmtId="0" fontId="22" fillId="30" borderId="21" xfId="0" applyFont="1" applyFill="1" applyBorder="1" applyAlignment="1">
      <alignment horizontal="center" vertical="center"/>
    </xf>
    <xf numFmtId="0" fontId="24" fillId="30" borderId="18" xfId="0" applyFont="1" applyFill="1" applyBorder="1" applyAlignment="1">
      <alignment horizontal="center" vertical="center"/>
    </xf>
    <xf numFmtId="0" fontId="4" fillId="30" borderId="21" xfId="0" applyFont="1" applyFill="1" applyBorder="1" applyAlignment="1">
      <alignment horizontal="center" vertical="center"/>
    </xf>
    <xf numFmtId="0" fontId="85" fillId="0" borderId="54" xfId="74" applyFont="1" applyBorder="1" applyAlignment="1">
      <alignment horizontal="center" vertical="center" wrapText="1"/>
    </xf>
    <xf numFmtId="0" fontId="16" fillId="0" borderId="40" xfId="74" applyFont="1" applyBorder="1" applyAlignment="1">
      <alignment horizontal="center" vertical="center" wrapText="1"/>
    </xf>
    <xf numFmtId="0" fontId="86" fillId="0" borderId="54" xfId="74" applyFont="1" applyBorder="1" applyAlignment="1">
      <alignment horizontal="center" vertical="center" wrapText="1"/>
    </xf>
    <xf numFmtId="0" fontId="29" fillId="30" borderId="22" xfId="0" applyFont="1" applyFill="1" applyBorder="1"/>
    <xf numFmtId="0" fontId="2" fillId="28" borderId="20" xfId="0" applyFont="1" applyFill="1" applyBorder="1" applyAlignment="1">
      <alignment horizontal="left" vertical="center"/>
    </xf>
    <xf numFmtId="0" fontId="22" fillId="28" borderId="21" xfId="0" applyFont="1" applyFill="1" applyBorder="1" applyAlignment="1">
      <alignment horizontal="center" vertical="center"/>
    </xf>
    <xf numFmtId="0" fontId="22" fillId="28" borderId="23" xfId="0" applyFont="1" applyFill="1" applyBorder="1" applyAlignment="1">
      <alignment horizontal="center" vertical="center"/>
    </xf>
    <xf numFmtId="0" fontId="33" fillId="28" borderId="21" xfId="0" applyFont="1" applyFill="1" applyBorder="1" applyAlignment="1">
      <alignment horizontal="center" vertical="center"/>
    </xf>
    <xf numFmtId="168" fontId="4" fillId="28" borderId="21" xfId="0" applyNumberFormat="1" applyFont="1" applyFill="1" applyBorder="1" applyAlignment="1">
      <alignment horizontal="center" vertical="center"/>
    </xf>
    <xf numFmtId="0" fontId="4" fillId="28" borderId="21" xfId="0" applyFont="1" applyFill="1" applyBorder="1" applyAlignment="1">
      <alignment horizontal="center" vertical="center"/>
    </xf>
    <xf numFmtId="0" fontId="2" fillId="28" borderId="24" xfId="0" applyFont="1" applyFill="1" applyBorder="1" applyAlignment="1">
      <alignment horizontal="left" vertical="center"/>
    </xf>
    <xf numFmtId="0" fontId="22" fillId="28" borderId="27" xfId="0" applyFont="1" applyFill="1" applyBorder="1" applyAlignment="1">
      <alignment horizontal="center" vertical="center"/>
    </xf>
    <xf numFmtId="0" fontId="33" fillId="28" borderId="27" xfId="0" applyFont="1" applyFill="1" applyBorder="1" applyAlignment="1">
      <alignment horizontal="center" vertical="center"/>
    </xf>
    <xf numFmtId="0" fontId="4" fillId="28" borderId="27" xfId="0" applyFont="1" applyFill="1" applyBorder="1" applyAlignment="1">
      <alignment horizontal="center" vertical="center"/>
    </xf>
    <xf numFmtId="0" fontId="29" fillId="27" borderId="30" xfId="0" applyFont="1" applyFill="1" applyBorder="1" applyAlignment="1">
      <alignment vertical="center"/>
    </xf>
    <xf numFmtId="0" fontId="22" fillId="27" borderId="16" xfId="0" applyFont="1" applyFill="1" applyBorder="1" applyAlignment="1">
      <alignment horizontal="center" vertical="center"/>
    </xf>
    <xf numFmtId="0" fontId="22" fillId="27" borderId="17" xfId="0" applyFont="1" applyFill="1" applyBorder="1" applyAlignment="1">
      <alignment horizontal="center" vertical="center"/>
    </xf>
    <xf numFmtId="0" fontId="24" fillId="27" borderId="0" xfId="0" applyFont="1" applyFill="1" applyAlignment="1">
      <alignment horizontal="center" vertical="center"/>
    </xf>
    <xf numFmtId="0" fontId="34" fillId="27" borderId="31" xfId="0" applyFont="1" applyFill="1" applyBorder="1" applyAlignment="1">
      <alignment horizontal="center" vertical="center"/>
    </xf>
    <xf numFmtId="0" fontId="29" fillId="27" borderId="32" xfId="0" applyFont="1" applyFill="1" applyBorder="1" applyAlignment="1">
      <alignment vertical="center"/>
    </xf>
    <xf numFmtId="0" fontId="22" fillId="27" borderId="32" xfId="0" applyFont="1" applyFill="1" applyBorder="1" applyAlignment="1">
      <alignment horizontal="center" vertical="center"/>
    </xf>
    <xf numFmtId="0" fontId="22" fillId="27" borderId="21" xfId="0" applyFont="1" applyFill="1" applyBorder="1" applyAlignment="1">
      <alignment horizontal="center" vertical="center"/>
    </xf>
    <xf numFmtId="0" fontId="24" fillId="27" borderId="33" xfId="0" applyFont="1" applyFill="1" applyBorder="1" applyAlignment="1">
      <alignment horizontal="center" vertical="center"/>
    </xf>
    <xf numFmtId="0" fontId="34" fillId="27" borderId="21" xfId="0" applyFont="1" applyFill="1" applyBorder="1" applyAlignment="1">
      <alignment horizontal="center" vertical="center"/>
    </xf>
    <xf numFmtId="0" fontId="24" fillId="27" borderId="18" xfId="0" applyFont="1" applyFill="1" applyBorder="1" applyAlignment="1">
      <alignment horizontal="center" vertical="center"/>
    </xf>
    <xf numFmtId="0" fontId="29" fillId="25" borderId="32" xfId="0" applyFont="1" applyFill="1" applyBorder="1" applyAlignment="1">
      <alignment vertical="center"/>
    </xf>
    <xf numFmtId="0" fontId="22" fillId="25" borderId="32" xfId="0" applyFont="1" applyFill="1" applyBorder="1" applyAlignment="1">
      <alignment horizontal="center" vertical="center"/>
    </xf>
    <xf numFmtId="0" fontId="22" fillId="25" borderId="21" xfId="0" applyFont="1" applyFill="1" applyBorder="1" applyAlignment="1">
      <alignment horizontal="center" vertical="center"/>
    </xf>
    <xf numFmtId="0" fontId="24" fillId="25" borderId="18" xfId="0" applyFont="1" applyFill="1" applyBorder="1" applyAlignment="1">
      <alignment horizontal="center" vertical="center"/>
    </xf>
    <xf numFmtId="0" fontId="34" fillId="25" borderId="21" xfId="0" applyFont="1" applyFill="1" applyBorder="1" applyAlignment="1">
      <alignment horizontal="center" vertical="center"/>
    </xf>
    <xf numFmtId="0" fontId="29" fillId="25" borderId="21" xfId="0" applyFont="1" applyFill="1" applyBorder="1" applyAlignment="1">
      <alignment vertical="center"/>
    </xf>
    <xf numFmtId="0" fontId="29" fillId="25" borderId="35" xfId="0" applyFont="1" applyFill="1" applyBorder="1" applyAlignment="1">
      <alignment vertical="center"/>
    </xf>
    <xf numFmtId="0" fontId="22" fillId="25" borderId="34" xfId="0" applyFont="1" applyFill="1" applyBorder="1" applyAlignment="1">
      <alignment horizontal="center" vertical="center"/>
    </xf>
    <xf numFmtId="0" fontId="22" fillId="25" borderId="35" xfId="0" applyFont="1" applyFill="1" applyBorder="1" applyAlignment="1">
      <alignment horizontal="center" vertical="center"/>
    </xf>
    <xf numFmtId="0" fontId="24" fillId="25" borderId="33" xfId="0" applyFont="1" applyFill="1" applyBorder="1" applyAlignment="1">
      <alignment horizontal="center" vertical="center"/>
    </xf>
    <xf numFmtId="0" fontId="34" fillId="25" borderId="35" xfId="0" applyFont="1" applyFill="1" applyBorder="1" applyAlignment="1">
      <alignment horizontal="center" vertical="center"/>
    </xf>
    <xf numFmtId="0" fontId="29" fillId="25" borderId="16" xfId="0" applyFont="1" applyFill="1" applyBorder="1" applyAlignment="1">
      <alignment vertical="center"/>
    </xf>
    <xf numFmtId="0" fontId="22" fillId="25" borderId="36" xfId="0" applyFont="1" applyFill="1" applyBorder="1" applyAlignment="1">
      <alignment horizontal="center" vertical="center"/>
    </xf>
    <xf numFmtId="0" fontId="34" fillId="25" borderId="16" xfId="0" applyFont="1" applyFill="1" applyBorder="1" applyAlignment="1">
      <alignment horizontal="center" vertical="center"/>
    </xf>
    <xf numFmtId="0" fontId="42" fillId="25" borderId="16" xfId="0" applyFont="1" applyFill="1" applyBorder="1" applyAlignment="1">
      <alignment vertical="center"/>
    </xf>
    <xf numFmtId="0" fontId="18" fillId="25" borderId="36" xfId="0" applyFont="1" applyFill="1" applyBorder="1" applyAlignment="1">
      <alignment horizontal="center" vertical="center"/>
    </xf>
    <xf numFmtId="0" fontId="18" fillId="25" borderId="16" xfId="0" applyFont="1" applyFill="1" applyBorder="1" applyAlignment="1">
      <alignment horizontal="center" vertical="center"/>
    </xf>
    <xf numFmtId="0" fontId="38" fillId="25" borderId="32" xfId="0" applyFont="1" applyFill="1" applyBorder="1" applyAlignment="1">
      <alignment horizontal="center" vertical="center"/>
    </xf>
    <xf numFmtId="0" fontId="36" fillId="25" borderId="16" xfId="0" applyFont="1" applyFill="1" applyBorder="1" applyAlignment="1">
      <alignment horizontal="center" vertical="center"/>
    </xf>
    <xf numFmtId="0" fontId="29" fillId="26" borderId="16" xfId="0" applyFont="1" applyFill="1" applyBorder="1" applyAlignment="1">
      <alignment vertical="center"/>
    </xf>
    <xf numFmtId="0" fontId="22" fillId="26" borderId="36" xfId="0" applyFont="1" applyFill="1" applyBorder="1" applyAlignment="1">
      <alignment horizontal="center" vertical="center"/>
    </xf>
    <xf numFmtId="0" fontId="24" fillId="26" borderId="29" xfId="0" applyFont="1" applyFill="1" applyBorder="1" applyAlignment="1">
      <alignment horizontal="center" vertical="center"/>
    </xf>
    <xf numFmtId="0" fontId="34" fillId="26" borderId="16" xfId="0" applyFont="1" applyFill="1" applyBorder="1" applyAlignment="1">
      <alignment horizontal="center" vertical="center"/>
    </xf>
    <xf numFmtId="0" fontId="40" fillId="0" borderId="0" xfId="0" applyFont="1" applyAlignment="1">
      <alignment horizontal="center"/>
    </xf>
    <xf numFmtId="0" fontId="3" fillId="0" borderId="0" xfId="0" applyFont="1" applyAlignment="1">
      <alignment horizontal="center"/>
    </xf>
    <xf numFmtId="0" fontId="29" fillId="26" borderId="21" xfId="0" applyFont="1" applyFill="1" applyBorder="1" applyAlignment="1">
      <alignment vertical="center"/>
    </xf>
    <xf numFmtId="0" fontId="22" fillId="26" borderId="32" xfId="0" applyFont="1" applyFill="1" applyBorder="1" applyAlignment="1">
      <alignment horizontal="center" vertical="center"/>
    </xf>
    <xf numFmtId="0" fontId="22" fillId="26" borderId="21" xfId="0" applyFont="1" applyFill="1" applyBorder="1" applyAlignment="1">
      <alignment horizontal="center" vertical="center"/>
    </xf>
    <xf numFmtId="0" fontId="24" fillId="26" borderId="32" xfId="0" applyFont="1" applyFill="1" applyBorder="1" applyAlignment="1">
      <alignment horizontal="center" vertical="center"/>
    </xf>
    <xf numFmtId="0" fontId="34" fillId="26" borderId="2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0" fontId="6" fillId="0" borderId="31" xfId="0" applyFont="1" applyBorder="1" applyAlignment="1">
      <alignment horizontal="center" vertical="center"/>
    </xf>
    <xf numFmtId="0" fontId="6" fillId="0" borderId="12" xfId="0" applyFont="1" applyBorder="1" applyAlignment="1">
      <alignment horizontal="center" vertical="center"/>
    </xf>
    <xf numFmtId="0" fontId="4" fillId="0" borderId="17" xfId="0" applyFont="1" applyBorder="1" applyAlignment="1">
      <alignment horizontal="center" vertical="center" wrapText="1"/>
    </xf>
    <xf numFmtId="0" fontId="4" fillId="0" borderId="17" xfId="0" applyFont="1" applyBorder="1" applyAlignment="1">
      <alignment horizontal="center" vertical="center"/>
    </xf>
    <xf numFmtId="0" fontId="4" fillId="0" borderId="37" xfId="0" applyFont="1" applyBorder="1" applyAlignment="1">
      <alignment horizontal="center"/>
    </xf>
    <xf numFmtId="0" fontId="4" fillId="0" borderId="17" xfId="0" applyFont="1" applyBorder="1" applyAlignment="1">
      <alignment horizontal="center"/>
    </xf>
    <xf numFmtId="0" fontId="24" fillId="26" borderId="18" xfId="0" applyFont="1" applyFill="1" applyBorder="1" applyAlignment="1">
      <alignment horizontal="center" vertical="center"/>
    </xf>
    <xf numFmtId="0" fontId="4" fillId="0" borderId="21" xfId="0" applyFont="1" applyBorder="1" applyAlignment="1">
      <alignment horizontal="center" vertical="center" wrapText="1"/>
    </xf>
    <xf numFmtId="0" fontId="4" fillId="0" borderId="21" xfId="0" applyFont="1" applyBorder="1" applyAlignment="1">
      <alignment horizontal="center"/>
    </xf>
    <xf numFmtId="0" fontId="4" fillId="0" borderId="18" xfId="0" applyFont="1" applyBorder="1" applyAlignment="1">
      <alignment horizontal="center"/>
    </xf>
    <xf numFmtId="0" fontId="29" fillId="26" borderId="27" xfId="0" applyFont="1" applyFill="1" applyBorder="1" applyAlignment="1">
      <alignment vertical="center"/>
    </xf>
    <xf numFmtId="0" fontId="22" fillId="26" borderId="38" xfId="0" applyFont="1" applyFill="1" applyBorder="1" applyAlignment="1">
      <alignment horizontal="center" vertical="center"/>
    </xf>
    <xf numFmtId="0" fontId="22" fillId="26" borderId="27" xfId="0" applyFont="1" applyFill="1" applyBorder="1" applyAlignment="1">
      <alignment horizontal="center" vertical="center"/>
    </xf>
    <xf numFmtId="0" fontId="24" fillId="26" borderId="38" xfId="0" applyFont="1" applyFill="1" applyBorder="1" applyAlignment="1">
      <alignment horizontal="center" vertical="center"/>
    </xf>
    <xf numFmtId="0" fontId="24" fillId="26" borderId="27" xfId="0" applyFont="1" applyFill="1" applyBorder="1" applyAlignment="1">
      <alignment horizontal="center" vertical="center"/>
    </xf>
    <xf numFmtId="0" fontId="42" fillId="0" borderId="0" xfId="0" applyFont="1" applyAlignment="1">
      <alignment vertical="center"/>
    </xf>
    <xf numFmtId="0" fontId="6" fillId="0" borderId="21" xfId="0" applyFont="1" applyBorder="1" applyAlignment="1">
      <alignment horizontal="center" vertical="center" wrapText="1"/>
    </xf>
    <xf numFmtId="2" fontId="4" fillId="0" borderId="21" xfId="0" applyNumberFormat="1" applyFont="1" applyBorder="1" applyAlignment="1">
      <alignment horizontal="center"/>
    </xf>
    <xf numFmtId="168" fontId="4" fillId="0" borderId="21" xfId="0" applyNumberFormat="1" applyFont="1" applyBorder="1" applyAlignment="1">
      <alignment horizontal="center"/>
    </xf>
    <xf numFmtId="1"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27" xfId="0" applyFont="1" applyBorder="1" applyAlignment="1">
      <alignment horizontal="center" vertical="center" wrapText="1"/>
    </xf>
    <xf numFmtId="0" fontId="34" fillId="0" borderId="27" xfId="0" applyFont="1" applyBorder="1" applyAlignment="1">
      <alignment horizontal="center"/>
    </xf>
    <xf numFmtId="0" fontId="4" fillId="0" borderId="39" xfId="0" applyFont="1" applyBorder="1" applyAlignment="1">
      <alignment horizontal="center"/>
    </xf>
    <xf numFmtId="0" fontId="4" fillId="0" borderId="27" xfId="0" applyFont="1" applyBorder="1" applyAlignment="1">
      <alignment horizontal="center"/>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34" fillId="0" borderId="0" xfId="0" applyFont="1" applyAlignment="1">
      <alignment horizontal="left"/>
    </xf>
    <xf numFmtId="0" fontId="43" fillId="0" borderId="0" xfId="0" applyFont="1" applyAlignment="1">
      <alignment horizontal="center"/>
    </xf>
    <xf numFmtId="0" fontId="6" fillId="0" borderId="19" xfId="0" applyFont="1" applyBorder="1" applyAlignment="1">
      <alignment horizontal="center" vertical="center" wrapText="1"/>
    </xf>
    <xf numFmtId="0" fontId="7" fillId="0" borderId="20" xfId="0" applyFont="1" applyBorder="1" applyAlignment="1">
      <alignment horizontal="center" vertical="center" wrapText="1"/>
    </xf>
    <xf numFmtId="2" fontId="34" fillId="0" borderId="20" xfId="0" applyNumberFormat="1" applyFont="1" applyBorder="1" applyAlignment="1">
      <alignment horizontal="center" vertical="center" wrapText="1"/>
    </xf>
    <xf numFmtId="2" fontId="34" fillId="0" borderId="45" xfId="0" applyNumberFormat="1" applyFont="1" applyBorder="1" applyAlignment="1">
      <alignment horizontal="center" vertical="center" wrapText="1"/>
    </xf>
    <xf numFmtId="11" fontId="4" fillId="0" borderId="42" xfId="0" applyNumberFormat="1" applyFont="1" applyBorder="1" applyAlignment="1">
      <alignment horizontal="center"/>
    </xf>
    <xf numFmtId="11" fontId="4" fillId="0" borderId="17" xfId="0" applyNumberFormat="1" applyFont="1" applyBorder="1" applyAlignment="1">
      <alignment horizontal="center"/>
    </xf>
    <xf numFmtId="11" fontId="4" fillId="0" borderId="43" xfId="0" applyNumberFormat="1" applyFont="1" applyBorder="1" applyAlignment="1">
      <alignment horizontal="center"/>
    </xf>
    <xf numFmtId="11" fontId="4" fillId="0" borderId="44" xfId="0" applyNumberFormat="1" applyFont="1" applyBorder="1" applyAlignment="1">
      <alignment horizontal="center"/>
    </xf>
    <xf numFmtId="11" fontId="4" fillId="0" borderId="21" xfId="0" applyNumberFormat="1" applyFont="1" applyBorder="1" applyAlignment="1">
      <alignment horizontal="center"/>
    </xf>
    <xf numFmtId="11" fontId="4" fillId="0" borderId="32" xfId="0" applyNumberFormat="1" applyFont="1" applyBorder="1" applyAlignment="1">
      <alignment horizontal="center"/>
    </xf>
    <xf numFmtId="0" fontId="34" fillId="0" borderId="0" xfId="0" applyFont="1"/>
    <xf numFmtId="0" fontId="44" fillId="0" borderId="19" xfId="0" applyFont="1" applyBorder="1" applyAlignment="1">
      <alignment horizontal="center" vertical="center" wrapText="1"/>
    </xf>
    <xf numFmtId="0" fontId="26" fillId="0" borderId="20" xfId="0" applyFont="1" applyBorder="1" applyAlignment="1">
      <alignment horizontal="center" vertical="center" wrapText="1"/>
    </xf>
    <xf numFmtId="0" fontId="4" fillId="0" borderId="0" xfId="0" applyFont="1" applyAlignment="1">
      <alignment horizontal="left" vertical="center"/>
    </xf>
    <xf numFmtId="0" fontId="43" fillId="0" borderId="0" xfId="0" applyFont="1" applyAlignment="1">
      <alignment horizontal="center" vertical="center"/>
    </xf>
    <xf numFmtId="0" fontId="6" fillId="0" borderId="24" xfId="0" applyFont="1" applyBorder="1" applyAlignment="1">
      <alignment horizontal="center" vertical="center" wrapText="1"/>
    </xf>
    <xf numFmtId="0" fontId="7" fillId="0" borderId="25" xfId="0" applyFont="1" applyBorder="1" applyAlignment="1">
      <alignment horizontal="center" vertical="center" wrapText="1"/>
    </xf>
    <xf numFmtId="2" fontId="34" fillId="0" borderId="25" xfId="0" applyNumberFormat="1" applyFont="1" applyBorder="1" applyAlignment="1">
      <alignment horizontal="center" vertical="center" wrapText="1"/>
    </xf>
    <xf numFmtId="2" fontId="34" fillId="0" borderId="50" xfId="0" applyNumberFormat="1" applyFont="1" applyBorder="1" applyAlignment="1">
      <alignment horizontal="center" vertical="center" wrapText="1"/>
    </xf>
    <xf numFmtId="11" fontId="4" fillId="0" borderId="28" xfId="0" applyNumberFormat="1" applyFont="1" applyBorder="1" applyAlignment="1">
      <alignment horizontal="center"/>
    </xf>
    <xf numFmtId="11" fontId="4" fillId="0" borderId="27" xfId="0" applyNumberFormat="1" applyFont="1" applyBorder="1" applyAlignment="1">
      <alignment horizontal="center"/>
    </xf>
    <xf numFmtId="11" fontId="4" fillId="0" borderId="38" xfId="0" applyNumberFormat="1" applyFont="1" applyBorder="1" applyAlignment="1">
      <alignment horizontal="center"/>
    </xf>
    <xf numFmtId="0" fontId="29" fillId="0" borderId="0" xfId="0" applyFont="1" applyAlignment="1">
      <alignment horizontal="center" vertical="center"/>
    </xf>
    <xf numFmtId="0" fontId="29" fillId="0" borderId="0" xfId="0" applyFont="1" applyAlignment="1">
      <alignment horizontal="center"/>
    </xf>
    <xf numFmtId="0" fontId="34" fillId="0" borderId="0" xfId="0" applyFont="1" applyAlignment="1">
      <alignment vertical="center"/>
    </xf>
    <xf numFmtId="0" fontId="3" fillId="0" borderId="0" xfId="0" applyFont="1" applyAlignment="1">
      <alignment horizontal="center" vertical="center"/>
    </xf>
    <xf numFmtId="0" fontId="34" fillId="0" borderId="0" xfId="0" applyFont="1" applyAlignment="1">
      <alignment horizontal="center" vertical="center"/>
    </xf>
    <xf numFmtId="0" fontId="2" fillId="31" borderId="12" xfId="0" applyFont="1" applyFill="1" applyBorder="1" applyAlignment="1">
      <alignment horizontal="center" vertical="center"/>
    </xf>
    <xf numFmtId="0" fontId="2" fillId="0" borderId="51" xfId="0" applyFont="1" applyBorder="1" applyAlignment="1">
      <alignment horizontal="center" vertical="center"/>
    </xf>
    <xf numFmtId="0" fontId="2" fillId="0" borderId="0" xfId="0" applyFont="1" applyAlignment="1">
      <alignment horizontal="center" vertical="center"/>
    </xf>
    <xf numFmtId="0" fontId="2" fillId="32" borderId="31" xfId="0" applyFont="1" applyFill="1" applyBorder="1" applyAlignment="1">
      <alignment horizontal="center" vertical="center"/>
    </xf>
    <xf numFmtId="0" fontId="2" fillId="33" borderId="12" xfId="0" applyFont="1" applyFill="1" applyBorder="1" applyAlignment="1">
      <alignment horizontal="center" vertical="center"/>
    </xf>
    <xf numFmtId="0" fontId="2" fillId="34" borderId="46" xfId="0" applyFont="1" applyFill="1" applyBorder="1" applyAlignment="1">
      <alignment horizontal="center" vertical="center"/>
    </xf>
    <xf numFmtId="0" fontId="2" fillId="0" borderId="26"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7" xfId="0" applyFont="1" applyBorder="1" applyAlignment="1">
      <alignment horizontal="center" vertical="center" wrapText="1"/>
    </xf>
    <xf numFmtId="0" fontId="29" fillId="0" borderId="20" xfId="0" applyFont="1" applyBorder="1" applyAlignment="1">
      <alignment horizontal="center" vertical="center" wrapText="1"/>
    </xf>
    <xf numFmtId="2" fontId="29" fillId="31" borderId="20" xfId="0" applyNumberFormat="1" applyFont="1" applyFill="1" applyBorder="1" applyAlignment="1">
      <alignment horizontal="center" vertical="center" wrapText="1"/>
    </xf>
    <xf numFmtId="0" fontId="29" fillId="32" borderId="20" xfId="0" applyFont="1" applyFill="1" applyBorder="1" applyAlignment="1">
      <alignment horizontal="center" vertical="center" wrapText="1"/>
    </xf>
    <xf numFmtId="168" fontId="29" fillId="31" borderId="20" xfId="0" applyNumberFormat="1" applyFont="1" applyFill="1" applyBorder="1" applyAlignment="1">
      <alignment horizontal="center" vertical="center" wrapText="1"/>
    </xf>
    <xf numFmtId="168" fontId="34" fillId="0" borderId="32" xfId="0" applyNumberFormat="1" applyFont="1" applyBorder="1" applyAlignment="1">
      <alignment horizontal="center" vertical="center" wrapText="1"/>
    </xf>
    <xf numFmtId="2" fontId="29" fillId="34" borderId="20" xfId="0" applyNumberFormat="1" applyFont="1" applyFill="1" applyBorder="1" applyAlignment="1">
      <alignment horizontal="center" vertical="center" wrapText="1"/>
    </xf>
    <xf numFmtId="168" fontId="29" fillId="0" borderId="20" xfId="0" applyNumberFormat="1" applyFont="1" applyBorder="1" applyAlignment="1">
      <alignment horizontal="center" vertical="center" wrapText="1"/>
    </xf>
    <xf numFmtId="2" fontId="29" fillId="0" borderId="20" xfId="0" applyNumberFormat="1" applyFont="1" applyBorder="1" applyAlignment="1">
      <alignment horizontal="center" vertical="center" wrapText="1"/>
    </xf>
    <xf numFmtId="2" fontId="34" fillId="0" borderId="32" xfId="0" applyNumberFormat="1" applyFont="1" applyBorder="1" applyAlignment="1">
      <alignment horizontal="center" vertical="center" wrapText="1"/>
    </xf>
    <xf numFmtId="0" fontId="34" fillId="0" borderId="32" xfId="0" applyFont="1" applyBorder="1" applyAlignment="1">
      <alignment horizontal="center" vertical="center" wrapText="1"/>
    </xf>
    <xf numFmtId="0" fontId="29" fillId="31" borderId="20" xfId="0" applyFont="1" applyFill="1" applyBorder="1" applyAlignment="1">
      <alignment horizontal="center" vertical="center" wrapText="1"/>
    </xf>
    <xf numFmtId="0" fontId="29" fillId="33" borderId="20" xfId="0" applyFont="1" applyFill="1" applyBorder="1" applyAlignment="1">
      <alignment horizontal="center" vertical="center" wrapText="1"/>
    </xf>
    <xf numFmtId="0" fontId="29" fillId="0" borderId="25" xfId="0" applyFont="1" applyBorder="1" applyAlignment="1">
      <alignment horizontal="center" vertical="center" wrapText="1"/>
    </xf>
    <xf numFmtId="0" fontId="29" fillId="32" borderId="25" xfId="0" applyFont="1" applyFill="1" applyBorder="1" applyAlignment="1">
      <alignment horizontal="center" vertical="center" wrapText="1"/>
    </xf>
    <xf numFmtId="0" fontId="29" fillId="33" borderId="25" xfId="0" applyFont="1" applyFill="1" applyBorder="1" applyAlignment="1">
      <alignment horizontal="center" vertical="center" wrapText="1"/>
    </xf>
    <xf numFmtId="0" fontId="29" fillId="31" borderId="25" xfId="0" applyFont="1" applyFill="1" applyBorder="1" applyAlignment="1">
      <alignment horizontal="center" vertical="center" wrapText="1"/>
    </xf>
    <xf numFmtId="0" fontId="34" fillId="0" borderId="38" xfId="0" applyFont="1" applyBorder="1" applyAlignment="1">
      <alignment horizontal="center" vertical="center" wrapText="1"/>
    </xf>
  </cellXfs>
  <cellStyles count="89">
    <cellStyle name="20 % - Accent1" xfId="2" xr:uid="{2F297017-DEC2-435D-8D5E-04E6B294080E}"/>
    <cellStyle name="20 % - Accent2" xfId="3" xr:uid="{8B5F9D19-7E57-43E7-8344-67E6FA71B37D}"/>
    <cellStyle name="20 % - Accent3" xfId="4" xr:uid="{6541D222-9F6E-4A87-AD7C-4485D77B9B12}"/>
    <cellStyle name="20 % - Accent4" xfId="5" xr:uid="{0C32BFF2-5E7E-4E6E-894B-78C9AB17D308}"/>
    <cellStyle name="20 % - Accent5" xfId="6" xr:uid="{8FE87A78-7A3E-4EEC-BDFF-8BC9176F8463}"/>
    <cellStyle name="20 % - Accent6" xfId="7" xr:uid="{4C8545F9-6BC7-4CEA-8AE6-29B4FFBA2464}"/>
    <cellStyle name="20% - 1. jelölőszín" xfId="8" xr:uid="{2E82BE84-32A2-44EC-9F28-5CF4EC344846}"/>
    <cellStyle name="20% - 2. jelölőszín" xfId="9" xr:uid="{7F3A19AB-A771-41E3-BBAC-22C0E93BB281}"/>
    <cellStyle name="20% - 3. jelölőszín" xfId="10" xr:uid="{BC7FF584-8813-4358-A58E-B3DF32F8439E}"/>
    <cellStyle name="20% - 4. jelölőszín" xfId="11" xr:uid="{B6ACAC9A-B37B-4E51-9E59-557C3A1DB527}"/>
    <cellStyle name="20% - 5. jelölőszín" xfId="12" xr:uid="{165E6CC5-685E-4AC7-A845-212B24BD59C7}"/>
    <cellStyle name="20% - 6. jelölőszín" xfId="13" xr:uid="{68B73960-887D-4BDC-9059-0C8E94D43E93}"/>
    <cellStyle name="40 % - Accent1" xfId="14" xr:uid="{266779C8-9D45-47C0-8B8F-EDB2506E9E14}"/>
    <cellStyle name="40 % - Accent2" xfId="15" xr:uid="{639E6DAA-E157-4110-AC3B-6F439A34D9D5}"/>
    <cellStyle name="40 % - Accent3" xfId="16" xr:uid="{B5A6889D-9A1E-424D-8834-BAF176FF1B0D}"/>
    <cellStyle name="40 % - Accent4" xfId="17" xr:uid="{C36F3DA8-66CE-47F7-ABEB-CF643686FD32}"/>
    <cellStyle name="40 % - Accent5" xfId="18" xr:uid="{09EAC485-9F4A-42AA-99F1-66820176E01D}"/>
    <cellStyle name="40 % - Accent6" xfId="19" xr:uid="{8D492983-5D77-42A5-832B-A8489ECBCA07}"/>
    <cellStyle name="40% - 1. jelölőszín" xfId="20" xr:uid="{642656A0-0442-4BB1-8DC3-E6CB0F90E10B}"/>
    <cellStyle name="40% - 2. jelölőszín" xfId="21" xr:uid="{D5034AD4-A69B-4C50-B985-0BC94EFBCB14}"/>
    <cellStyle name="40% - 3. jelölőszín" xfId="22" xr:uid="{3E9BA095-F591-459C-AD22-C70CA96DD765}"/>
    <cellStyle name="40% - 4. jelölőszín" xfId="23" xr:uid="{B325C065-89AB-417D-ADE0-AED2182EC385}"/>
    <cellStyle name="40% - 5. jelölőszín" xfId="24" xr:uid="{E61421AA-EEF5-4234-B4CA-EC40DC1C57D8}"/>
    <cellStyle name="40% - 6. jelölőszín" xfId="25" xr:uid="{CC5F52CF-F77C-4AA4-B43F-847E1DE0F5B6}"/>
    <cellStyle name="60 % - Accent1" xfId="26" xr:uid="{09E967C2-48FC-43FF-B3C8-85D3D25E83FB}"/>
    <cellStyle name="60 % - Accent2" xfId="27" xr:uid="{AC8C2645-FCCD-42D2-8FC0-8F12146582C6}"/>
    <cellStyle name="60 % - Accent3" xfId="28" xr:uid="{919CDE0A-28F8-4232-BA6F-51B7EB8FD805}"/>
    <cellStyle name="60 % - Accent4" xfId="29" xr:uid="{F90EEA4D-95BC-4130-9D15-C6868CD9DA76}"/>
    <cellStyle name="60 % - Accent5" xfId="30" xr:uid="{0804D885-B088-400C-AFB0-9E903CA2AE1B}"/>
    <cellStyle name="60 % - Accent6" xfId="31" xr:uid="{55C0ACBD-BE70-4169-BD29-4450FDE7F49C}"/>
    <cellStyle name="60% - 1. jelölőszín" xfId="32" xr:uid="{E954F025-56A8-4E2D-B165-EACBCF17F92E}"/>
    <cellStyle name="60% - 2. jelölőszín" xfId="33" xr:uid="{FBA05C41-F0D2-434D-A19D-8C756CCB44BD}"/>
    <cellStyle name="60% - 3. jelölőszín" xfId="34" xr:uid="{F42B61C2-5B31-40BE-8D66-12DA4644580D}"/>
    <cellStyle name="60% - 4. jelölőszín" xfId="35" xr:uid="{2B658402-ED7F-4DEB-8D4F-075444A5FE9F}"/>
    <cellStyle name="60% - 5. jelölőszín" xfId="36" xr:uid="{CD9747AC-A3E0-4C25-A97B-10668A28D51B}"/>
    <cellStyle name="60% - 6. jelölőszín" xfId="37" xr:uid="{C048E933-E96B-4FE7-A260-930F6F736228}"/>
    <cellStyle name="Accent1" xfId="38" xr:uid="{EA6D12E6-CE53-4AF4-8A20-81D27E4AA509}"/>
    <cellStyle name="Accent2" xfId="39" xr:uid="{879551CC-4B0F-439D-8561-09E2DAF70F95}"/>
    <cellStyle name="Accent3" xfId="40" xr:uid="{BA8B43DF-D06D-4971-AE5F-470B51C21489}"/>
    <cellStyle name="Accent4" xfId="41" xr:uid="{28C8D930-5DCE-47BB-B173-1C5DB069AF7E}"/>
    <cellStyle name="Accent5" xfId="42" xr:uid="{7143BE57-623A-4ADF-BF81-02D9E690C184}"/>
    <cellStyle name="Accent6" xfId="43" xr:uid="{2903977E-D262-4173-926A-850C48B6230A}"/>
    <cellStyle name="Avertissement" xfId="44" xr:uid="{6D2EBABF-9271-46BA-BDA3-62D05FBF7AED}"/>
    <cellStyle name="Bevitel" xfId="45" xr:uid="{6B7A4845-338F-415D-8919-E9726FF27009}"/>
    <cellStyle name="Calcul" xfId="46" xr:uid="{6CDFBCC6-68C9-466F-8578-D70B0B9E94AE}"/>
    <cellStyle name="Cellule liée" xfId="47" xr:uid="{2341F11C-3E6D-4911-9246-68757E781D07}"/>
    <cellStyle name="Cím" xfId="48" xr:uid="{E05E9809-F828-4DED-B5C8-8B30DCD7D5F5}"/>
    <cellStyle name="Címsor 1" xfId="49" xr:uid="{CDDC157A-9B08-443D-AA88-44FC7B1BD599}"/>
    <cellStyle name="Címsor 2" xfId="50" xr:uid="{9472A31F-F220-4AA6-8F43-D985CFD1F718}"/>
    <cellStyle name="Címsor 3" xfId="51" xr:uid="{432E459A-702B-4E9B-90D3-E6DD9F810CD0}"/>
    <cellStyle name="Címsor 4" xfId="52" xr:uid="{BA664F14-E331-4854-9A88-B51EDA99FDB2}"/>
    <cellStyle name="Commentaire" xfId="53" xr:uid="{7EBFE018-9408-4E5E-988E-1CD95327C7D6}"/>
    <cellStyle name="Ellenőrzőcella" xfId="54" xr:uid="{9034CE73-262D-476A-809F-87D4081A4143}"/>
    <cellStyle name="Entrée" xfId="55" xr:uid="{5668F0EB-A2BC-4F1F-B1BC-E4AF2C6B8ECA}"/>
    <cellStyle name="Figyelmeztetés" xfId="56" xr:uid="{69161603-8F26-421F-B037-2F189BAE6DD4}"/>
    <cellStyle name="Hivatkozott cella" xfId="57" xr:uid="{CC00946F-7609-42EF-99AD-98B8D0B6BB00}"/>
    <cellStyle name="Insatisfaisant" xfId="58" xr:uid="{DAF9B29C-8433-4E1F-A1F0-EF37C0FE2CCB}"/>
    <cellStyle name="Jegyzet" xfId="59" xr:uid="{C2AFD5D0-51EF-40DE-B8D2-E15F12438FE6}"/>
    <cellStyle name="Jelölőszín (1)" xfId="60" xr:uid="{A1F010A2-3517-47F6-BB8E-3E704213A4D2}"/>
    <cellStyle name="Jelölőszín (2)" xfId="61" xr:uid="{DD1A4EAE-FD62-472D-9C31-DC39D6DF34E6}"/>
    <cellStyle name="Jelölőszín (3)" xfId="62" xr:uid="{93EBA8D9-7672-4D4C-A1CB-2EF76EEC1C11}"/>
    <cellStyle name="Jelölőszín (4)" xfId="63" xr:uid="{0A5E687B-FB3C-4A1A-BCF3-7CF5E091CAA5}"/>
    <cellStyle name="Jelölőszín (5)" xfId="64" xr:uid="{4F228B5B-665F-40F0-9BE8-85B27CF6A807}"/>
    <cellStyle name="Jelölőszín (6)" xfId="65" xr:uid="{F710003B-C205-4E4C-9879-FF31934A013C}"/>
    <cellStyle name="Jó" xfId="66" xr:uid="{4A6C6784-7DC3-4A27-9652-2B987F10D08B}"/>
    <cellStyle name="Kimenet" xfId="67" xr:uid="{5DC92F38-9542-4514-98D5-48442BD5FE77}"/>
    <cellStyle name="Magyarázó szöveg" xfId="68" xr:uid="{6E4E05DF-7830-459C-9497-03506A9F71D2}"/>
    <cellStyle name="Neutre" xfId="69" xr:uid="{D59403B1-779E-4F07-BFA9-DB1C07119B52}"/>
    <cellStyle name="Normal" xfId="0" builtinId="0"/>
    <cellStyle name="Normal 2" xfId="1" xr:uid="{D5D3A175-9744-4F9A-96EC-1E649C6301FF}"/>
    <cellStyle name="Normal_ASM1" xfId="70" xr:uid="{A139B78B-9CCA-4C36-ADF6-D9C764FC64B3}"/>
    <cellStyle name="Normal_ASM3_EAWAG_EBPR_Modul_engl_HS" xfId="71" xr:uid="{0C3B0A4F-5858-4107-9971-E85F2DC4935F}"/>
    <cellStyle name="Normal_Kinetic matrix" xfId="72" xr:uid="{8858C670-47A4-499A-AB6F-ECD54C3C732A}"/>
    <cellStyle name="Normal_States" xfId="73" xr:uid="{A8267A30-9873-4DC5-9611-D575219266AE}"/>
    <cellStyle name="Normal_States_1" xfId="74" xr:uid="{0B73EF1B-4FFF-4F97-BFE0-8C83FECD679A}"/>
    <cellStyle name="Összesen" xfId="75" xr:uid="{0D0AD8BB-1A88-4061-9E10-4B6EC7706FBF}"/>
    <cellStyle name="Rossz" xfId="76" xr:uid="{366D1AC3-0DE0-4630-9F77-14B048F7D322}"/>
    <cellStyle name="Satisfaisant" xfId="77" xr:uid="{C8CBADF9-E883-4D7F-AFEC-B6743DBA1633}"/>
    <cellStyle name="Semleges" xfId="78" xr:uid="{3D2B7E51-A145-415F-A6F8-9ED7113615A6}"/>
    <cellStyle name="Sortie" xfId="79" xr:uid="{726C09CF-7C70-49C2-8E18-489D74E9B7D7}"/>
    <cellStyle name="Számítás" xfId="80" xr:uid="{8846BDFD-6C8B-4BAF-BD78-B7B76147BB2F}"/>
    <cellStyle name="Texte explicatif" xfId="81" xr:uid="{43935105-1A33-47DA-B417-72B499C9317A}"/>
    <cellStyle name="Titre" xfId="82" xr:uid="{00913EDC-08FB-4FA5-81DA-A5A47A3F8AC0}"/>
    <cellStyle name="Titre 1" xfId="83" xr:uid="{D3D8564D-2A86-416F-AAE9-CA6B5417812A}"/>
    <cellStyle name="Titre 2" xfId="84" xr:uid="{DCE88BBD-C020-4CF1-8914-39A8AAF95930}"/>
    <cellStyle name="Titre 3" xfId="85" xr:uid="{30F6DDF7-96B6-474C-B687-09C2387D3A10}"/>
    <cellStyle name="Titre 4" xfId="86" xr:uid="{32FBECE6-524B-4ED5-9B9D-67ADB20F7E68}"/>
    <cellStyle name="Total" xfId="87" xr:uid="{CC46E977-FD55-4EC0-AC8E-3ECE63F968A7}"/>
    <cellStyle name="Vérification" xfId="88" xr:uid="{FCA39739-9BF6-493C-A48F-83F701C24BC5}"/>
  </cellStyles>
  <dxfs count="3">
    <dxf>
      <fill>
        <patternFill patternType="gray0625">
          <fgColor indexed="22"/>
          <bgColor indexed="9"/>
        </patternFill>
      </fill>
    </dxf>
    <dxf>
      <fill>
        <patternFill>
          <bgColor indexed="46"/>
        </patternFill>
      </fill>
    </dxf>
    <dxf>
      <fill>
        <patternFill>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24</xdr:col>
          <xdr:colOff>0</xdr:colOff>
          <xdr:row>72</xdr:row>
          <xdr:rowOff>0</xdr:rowOff>
        </xdr:from>
        <xdr:to>
          <xdr:col>24</xdr:col>
          <xdr:colOff>0</xdr:colOff>
          <xdr:row>72</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C3A12E42-0D2E-48A2-9B3B-4ADCF262502B}"/>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0</xdr:colOff>
          <xdr:row>72</xdr:row>
          <xdr:rowOff>0</xdr:rowOff>
        </xdr:from>
        <xdr:to>
          <xdr:col>24</xdr:col>
          <xdr:colOff>0</xdr:colOff>
          <xdr:row>72</xdr:row>
          <xdr:rowOff>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16F6594-809B-4289-BE6E-D2ADEE3638F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0</xdr:colOff>
          <xdr:row>72</xdr:row>
          <xdr:rowOff>0</xdr:rowOff>
        </xdr:from>
        <xdr:to>
          <xdr:col>24</xdr:col>
          <xdr:colOff>0</xdr:colOff>
          <xdr:row>72</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3E65FA8C-F69A-4C61-9934-129A7B44026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oleObject" Target="../embeddings/oleObject3.bin"/><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wmf"/><Relationship Id="rId5" Type="http://schemas.openxmlformats.org/officeDocument/2006/relationships/oleObject" Target="../embeddings/oleObject2.bin"/><Relationship Id="rId4" Type="http://schemas.openxmlformats.org/officeDocument/2006/relationships/image" Target="../media/image1.w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1"/>
  <sheetViews>
    <sheetView tabSelected="1" workbookViewId="0">
      <selection sqref="A1:XFD1048576"/>
    </sheetView>
  </sheetViews>
  <sheetFormatPr defaultColWidth="11.42578125" defaultRowHeight="15" x14ac:dyDescent="0.25"/>
  <cols>
    <col min="1" max="1" width="1.85546875" customWidth="1"/>
    <col min="2" max="2" width="6.28515625" bestFit="1" customWidth="1"/>
    <col min="3" max="3" width="75.7109375" bestFit="1" customWidth="1"/>
    <col min="4" max="4" width="12.7109375" customWidth="1"/>
    <col min="5" max="5" width="13.28515625" bestFit="1" customWidth="1"/>
    <col min="6" max="6" width="14.140625" bestFit="1" customWidth="1"/>
    <col min="7" max="7" width="9" customWidth="1"/>
    <col min="8" max="8" width="3.5703125" customWidth="1"/>
    <col min="9" max="9" width="3" customWidth="1"/>
    <col min="10" max="10" width="3.7109375" customWidth="1"/>
    <col min="11" max="11" width="27.7109375" customWidth="1"/>
    <col min="12" max="12" width="9.28515625" customWidth="1"/>
    <col min="13" max="13" width="9.42578125" customWidth="1"/>
    <col min="14" max="14" width="9.85546875" customWidth="1"/>
    <col min="15" max="15" width="12.140625" customWidth="1"/>
    <col min="16" max="16" width="12.42578125" customWidth="1"/>
    <col min="17" max="17" width="10.140625" customWidth="1"/>
    <col min="18" max="18" width="10.7109375" customWidth="1"/>
    <col min="19" max="19" width="15" customWidth="1"/>
    <col min="20" max="20" width="14.85546875" customWidth="1"/>
    <col min="21" max="21" width="14.5703125" customWidth="1"/>
    <col min="22" max="22" width="12.140625" customWidth="1"/>
    <col min="23" max="23" width="17.85546875" customWidth="1"/>
    <col min="24" max="24" width="27" customWidth="1"/>
    <col min="25" max="25" width="12.7109375" customWidth="1"/>
    <col min="26" max="26" width="20" customWidth="1"/>
    <col min="27" max="27" width="16" bestFit="1" customWidth="1"/>
    <col min="28" max="28" width="13.42578125" bestFit="1" customWidth="1"/>
    <col min="29" max="29" width="22.42578125" customWidth="1"/>
    <col min="257" max="257" width="1.85546875" customWidth="1"/>
    <col min="258" max="258" width="6.28515625" bestFit="1" customWidth="1"/>
    <col min="259" max="259" width="75.7109375" bestFit="1" customWidth="1"/>
    <col min="260" max="260" width="12.7109375" customWidth="1"/>
    <col min="261" max="261" width="13.28515625" bestFit="1" customWidth="1"/>
    <col min="262" max="262" width="14.140625" bestFit="1" customWidth="1"/>
    <col min="263" max="263" width="9" customWidth="1"/>
    <col min="264" max="264" width="3.5703125" customWidth="1"/>
    <col min="265" max="265" width="3" customWidth="1"/>
    <col min="266" max="266" width="3.7109375" customWidth="1"/>
    <col min="267" max="267" width="27.7109375" customWidth="1"/>
    <col min="268" max="268" width="9.28515625" customWidth="1"/>
    <col min="269" max="269" width="9.42578125" customWidth="1"/>
    <col min="270" max="270" width="9.85546875" customWidth="1"/>
    <col min="271" max="271" width="12.140625" customWidth="1"/>
    <col min="272" max="272" width="12.42578125" customWidth="1"/>
    <col min="273" max="273" width="10.140625" customWidth="1"/>
    <col min="274" max="274" width="10.7109375" customWidth="1"/>
    <col min="275" max="275" width="15" customWidth="1"/>
    <col min="276" max="276" width="14.85546875" customWidth="1"/>
    <col min="277" max="277" width="14.5703125" customWidth="1"/>
    <col min="278" max="278" width="12.140625" customWidth="1"/>
    <col min="279" max="279" width="17.85546875" customWidth="1"/>
    <col min="280" max="280" width="27" customWidth="1"/>
    <col min="281" max="281" width="12.7109375" customWidth="1"/>
    <col min="282" max="282" width="20" customWidth="1"/>
    <col min="283" max="283" width="16" bestFit="1" customWidth="1"/>
    <col min="284" max="284" width="13.42578125" bestFit="1" customWidth="1"/>
    <col min="285" max="285" width="22.42578125" customWidth="1"/>
    <col min="513" max="513" width="1.85546875" customWidth="1"/>
    <col min="514" max="514" width="6.28515625" bestFit="1" customWidth="1"/>
    <col min="515" max="515" width="75.7109375" bestFit="1" customWidth="1"/>
    <col min="516" max="516" width="12.7109375" customWidth="1"/>
    <col min="517" max="517" width="13.28515625" bestFit="1" customWidth="1"/>
    <col min="518" max="518" width="14.140625" bestFit="1" customWidth="1"/>
    <col min="519" max="519" width="9" customWidth="1"/>
    <col min="520" max="520" width="3.5703125" customWidth="1"/>
    <col min="521" max="521" width="3" customWidth="1"/>
    <col min="522" max="522" width="3.7109375" customWidth="1"/>
    <col min="523" max="523" width="27.7109375" customWidth="1"/>
    <col min="524" max="524" width="9.28515625" customWidth="1"/>
    <col min="525" max="525" width="9.42578125" customWidth="1"/>
    <col min="526" max="526" width="9.85546875" customWidth="1"/>
    <col min="527" max="527" width="12.140625" customWidth="1"/>
    <col min="528" max="528" width="12.42578125" customWidth="1"/>
    <col min="529" max="529" width="10.140625" customWidth="1"/>
    <col min="530" max="530" width="10.7109375" customWidth="1"/>
    <col min="531" max="531" width="15" customWidth="1"/>
    <col min="532" max="532" width="14.85546875" customWidth="1"/>
    <col min="533" max="533" width="14.5703125" customWidth="1"/>
    <col min="534" max="534" width="12.140625" customWidth="1"/>
    <col min="535" max="535" width="17.85546875" customWidth="1"/>
    <col min="536" max="536" width="27" customWidth="1"/>
    <col min="537" max="537" width="12.7109375" customWidth="1"/>
    <col min="538" max="538" width="20" customWidth="1"/>
    <col min="539" max="539" width="16" bestFit="1" customWidth="1"/>
    <col min="540" max="540" width="13.42578125" bestFit="1" customWidth="1"/>
    <col min="541" max="541" width="22.42578125" customWidth="1"/>
    <col min="769" max="769" width="1.85546875" customWidth="1"/>
    <col min="770" max="770" width="6.28515625" bestFit="1" customWidth="1"/>
    <col min="771" max="771" width="75.7109375" bestFit="1" customWidth="1"/>
    <col min="772" max="772" width="12.7109375" customWidth="1"/>
    <col min="773" max="773" width="13.28515625" bestFit="1" customWidth="1"/>
    <col min="774" max="774" width="14.140625" bestFit="1" customWidth="1"/>
    <col min="775" max="775" width="9" customWidth="1"/>
    <col min="776" max="776" width="3.5703125" customWidth="1"/>
    <col min="777" max="777" width="3" customWidth="1"/>
    <col min="778" max="778" width="3.7109375" customWidth="1"/>
    <col min="779" max="779" width="27.7109375" customWidth="1"/>
    <col min="780" max="780" width="9.28515625" customWidth="1"/>
    <col min="781" max="781" width="9.42578125" customWidth="1"/>
    <col min="782" max="782" width="9.85546875" customWidth="1"/>
    <col min="783" max="783" width="12.140625" customWidth="1"/>
    <col min="784" max="784" width="12.42578125" customWidth="1"/>
    <col min="785" max="785" width="10.140625" customWidth="1"/>
    <col min="786" max="786" width="10.7109375" customWidth="1"/>
    <col min="787" max="787" width="15" customWidth="1"/>
    <col min="788" max="788" width="14.85546875" customWidth="1"/>
    <col min="789" max="789" width="14.5703125" customWidth="1"/>
    <col min="790" max="790" width="12.140625" customWidth="1"/>
    <col min="791" max="791" width="17.85546875" customWidth="1"/>
    <col min="792" max="792" width="27" customWidth="1"/>
    <col min="793" max="793" width="12.7109375" customWidth="1"/>
    <col min="794" max="794" width="20" customWidth="1"/>
    <col min="795" max="795" width="16" bestFit="1" customWidth="1"/>
    <col min="796" max="796" width="13.42578125" bestFit="1" customWidth="1"/>
    <col min="797" max="797" width="22.42578125" customWidth="1"/>
    <col min="1025" max="1025" width="1.85546875" customWidth="1"/>
    <col min="1026" max="1026" width="6.28515625" bestFit="1" customWidth="1"/>
    <col min="1027" max="1027" width="75.7109375" bestFit="1" customWidth="1"/>
    <col min="1028" max="1028" width="12.7109375" customWidth="1"/>
    <col min="1029" max="1029" width="13.28515625" bestFit="1" customWidth="1"/>
    <col min="1030" max="1030" width="14.140625" bestFit="1" customWidth="1"/>
    <col min="1031" max="1031" width="9" customWidth="1"/>
    <col min="1032" max="1032" width="3.5703125" customWidth="1"/>
    <col min="1033" max="1033" width="3" customWidth="1"/>
    <col min="1034" max="1034" width="3.7109375" customWidth="1"/>
    <col min="1035" max="1035" width="27.7109375" customWidth="1"/>
    <col min="1036" max="1036" width="9.28515625" customWidth="1"/>
    <col min="1037" max="1037" width="9.42578125" customWidth="1"/>
    <col min="1038" max="1038" width="9.85546875" customWidth="1"/>
    <col min="1039" max="1039" width="12.140625" customWidth="1"/>
    <col min="1040" max="1040" width="12.42578125" customWidth="1"/>
    <col min="1041" max="1041" width="10.140625" customWidth="1"/>
    <col min="1042" max="1042" width="10.7109375" customWidth="1"/>
    <col min="1043" max="1043" width="15" customWidth="1"/>
    <col min="1044" max="1044" width="14.85546875" customWidth="1"/>
    <col min="1045" max="1045" width="14.5703125" customWidth="1"/>
    <col min="1046" max="1046" width="12.140625" customWidth="1"/>
    <col min="1047" max="1047" width="17.85546875" customWidth="1"/>
    <col min="1048" max="1048" width="27" customWidth="1"/>
    <col min="1049" max="1049" width="12.7109375" customWidth="1"/>
    <col min="1050" max="1050" width="20" customWidth="1"/>
    <col min="1051" max="1051" width="16" bestFit="1" customWidth="1"/>
    <col min="1052" max="1052" width="13.42578125" bestFit="1" customWidth="1"/>
    <col min="1053" max="1053" width="22.42578125" customWidth="1"/>
    <col min="1281" max="1281" width="1.85546875" customWidth="1"/>
    <col min="1282" max="1282" width="6.28515625" bestFit="1" customWidth="1"/>
    <col min="1283" max="1283" width="75.7109375" bestFit="1" customWidth="1"/>
    <col min="1284" max="1284" width="12.7109375" customWidth="1"/>
    <col min="1285" max="1285" width="13.28515625" bestFit="1" customWidth="1"/>
    <col min="1286" max="1286" width="14.140625" bestFit="1" customWidth="1"/>
    <col min="1287" max="1287" width="9" customWidth="1"/>
    <col min="1288" max="1288" width="3.5703125" customWidth="1"/>
    <col min="1289" max="1289" width="3" customWidth="1"/>
    <col min="1290" max="1290" width="3.7109375" customWidth="1"/>
    <col min="1291" max="1291" width="27.7109375" customWidth="1"/>
    <col min="1292" max="1292" width="9.28515625" customWidth="1"/>
    <col min="1293" max="1293" width="9.42578125" customWidth="1"/>
    <col min="1294" max="1294" width="9.85546875" customWidth="1"/>
    <col min="1295" max="1295" width="12.140625" customWidth="1"/>
    <col min="1296" max="1296" width="12.42578125" customWidth="1"/>
    <col min="1297" max="1297" width="10.140625" customWidth="1"/>
    <col min="1298" max="1298" width="10.7109375" customWidth="1"/>
    <col min="1299" max="1299" width="15" customWidth="1"/>
    <col min="1300" max="1300" width="14.85546875" customWidth="1"/>
    <col min="1301" max="1301" width="14.5703125" customWidth="1"/>
    <col min="1302" max="1302" width="12.140625" customWidth="1"/>
    <col min="1303" max="1303" width="17.85546875" customWidth="1"/>
    <col min="1304" max="1304" width="27" customWidth="1"/>
    <col min="1305" max="1305" width="12.7109375" customWidth="1"/>
    <col min="1306" max="1306" width="20" customWidth="1"/>
    <col min="1307" max="1307" width="16" bestFit="1" customWidth="1"/>
    <col min="1308" max="1308" width="13.42578125" bestFit="1" customWidth="1"/>
    <col min="1309" max="1309" width="22.42578125" customWidth="1"/>
    <col min="1537" max="1537" width="1.85546875" customWidth="1"/>
    <col min="1538" max="1538" width="6.28515625" bestFit="1" customWidth="1"/>
    <col min="1539" max="1539" width="75.7109375" bestFit="1" customWidth="1"/>
    <col min="1540" max="1540" width="12.7109375" customWidth="1"/>
    <col min="1541" max="1541" width="13.28515625" bestFit="1" customWidth="1"/>
    <col min="1542" max="1542" width="14.140625" bestFit="1" customWidth="1"/>
    <col min="1543" max="1543" width="9" customWidth="1"/>
    <col min="1544" max="1544" width="3.5703125" customWidth="1"/>
    <col min="1545" max="1545" width="3" customWidth="1"/>
    <col min="1546" max="1546" width="3.7109375" customWidth="1"/>
    <col min="1547" max="1547" width="27.7109375" customWidth="1"/>
    <col min="1548" max="1548" width="9.28515625" customWidth="1"/>
    <col min="1549" max="1549" width="9.42578125" customWidth="1"/>
    <col min="1550" max="1550" width="9.85546875" customWidth="1"/>
    <col min="1551" max="1551" width="12.140625" customWidth="1"/>
    <col min="1552" max="1552" width="12.42578125" customWidth="1"/>
    <col min="1553" max="1553" width="10.140625" customWidth="1"/>
    <col min="1554" max="1554" width="10.7109375" customWidth="1"/>
    <col min="1555" max="1555" width="15" customWidth="1"/>
    <col min="1556" max="1556" width="14.85546875" customWidth="1"/>
    <col min="1557" max="1557" width="14.5703125" customWidth="1"/>
    <col min="1558" max="1558" width="12.140625" customWidth="1"/>
    <col min="1559" max="1559" width="17.85546875" customWidth="1"/>
    <col min="1560" max="1560" width="27" customWidth="1"/>
    <col min="1561" max="1561" width="12.7109375" customWidth="1"/>
    <col min="1562" max="1562" width="20" customWidth="1"/>
    <col min="1563" max="1563" width="16" bestFit="1" customWidth="1"/>
    <col min="1564" max="1564" width="13.42578125" bestFit="1" customWidth="1"/>
    <col min="1565" max="1565" width="22.42578125" customWidth="1"/>
    <col min="1793" max="1793" width="1.85546875" customWidth="1"/>
    <col min="1794" max="1794" width="6.28515625" bestFit="1" customWidth="1"/>
    <col min="1795" max="1795" width="75.7109375" bestFit="1" customWidth="1"/>
    <col min="1796" max="1796" width="12.7109375" customWidth="1"/>
    <col min="1797" max="1797" width="13.28515625" bestFit="1" customWidth="1"/>
    <col min="1798" max="1798" width="14.140625" bestFit="1" customWidth="1"/>
    <col min="1799" max="1799" width="9" customWidth="1"/>
    <col min="1800" max="1800" width="3.5703125" customWidth="1"/>
    <col min="1801" max="1801" width="3" customWidth="1"/>
    <col min="1802" max="1802" width="3.7109375" customWidth="1"/>
    <col min="1803" max="1803" width="27.7109375" customWidth="1"/>
    <col min="1804" max="1804" width="9.28515625" customWidth="1"/>
    <col min="1805" max="1805" width="9.42578125" customWidth="1"/>
    <col min="1806" max="1806" width="9.85546875" customWidth="1"/>
    <col min="1807" max="1807" width="12.140625" customWidth="1"/>
    <col min="1808" max="1808" width="12.42578125" customWidth="1"/>
    <col min="1809" max="1809" width="10.140625" customWidth="1"/>
    <col min="1810" max="1810" width="10.7109375" customWidth="1"/>
    <col min="1811" max="1811" width="15" customWidth="1"/>
    <col min="1812" max="1812" width="14.85546875" customWidth="1"/>
    <col min="1813" max="1813" width="14.5703125" customWidth="1"/>
    <col min="1814" max="1814" width="12.140625" customWidth="1"/>
    <col min="1815" max="1815" width="17.85546875" customWidth="1"/>
    <col min="1816" max="1816" width="27" customWidth="1"/>
    <col min="1817" max="1817" width="12.7109375" customWidth="1"/>
    <col min="1818" max="1818" width="20" customWidth="1"/>
    <col min="1819" max="1819" width="16" bestFit="1" customWidth="1"/>
    <col min="1820" max="1820" width="13.42578125" bestFit="1" customWidth="1"/>
    <col min="1821" max="1821" width="22.42578125" customWidth="1"/>
    <col min="2049" max="2049" width="1.85546875" customWidth="1"/>
    <col min="2050" max="2050" width="6.28515625" bestFit="1" customWidth="1"/>
    <col min="2051" max="2051" width="75.7109375" bestFit="1" customWidth="1"/>
    <col min="2052" max="2052" width="12.7109375" customWidth="1"/>
    <col min="2053" max="2053" width="13.28515625" bestFit="1" customWidth="1"/>
    <col min="2054" max="2054" width="14.140625" bestFit="1" customWidth="1"/>
    <col min="2055" max="2055" width="9" customWidth="1"/>
    <col min="2056" max="2056" width="3.5703125" customWidth="1"/>
    <col min="2057" max="2057" width="3" customWidth="1"/>
    <col min="2058" max="2058" width="3.7109375" customWidth="1"/>
    <col min="2059" max="2059" width="27.7109375" customWidth="1"/>
    <col min="2060" max="2060" width="9.28515625" customWidth="1"/>
    <col min="2061" max="2061" width="9.42578125" customWidth="1"/>
    <col min="2062" max="2062" width="9.85546875" customWidth="1"/>
    <col min="2063" max="2063" width="12.140625" customWidth="1"/>
    <col min="2064" max="2064" width="12.42578125" customWidth="1"/>
    <col min="2065" max="2065" width="10.140625" customWidth="1"/>
    <col min="2066" max="2066" width="10.7109375" customWidth="1"/>
    <col min="2067" max="2067" width="15" customWidth="1"/>
    <col min="2068" max="2068" width="14.85546875" customWidth="1"/>
    <col min="2069" max="2069" width="14.5703125" customWidth="1"/>
    <col min="2070" max="2070" width="12.140625" customWidth="1"/>
    <col min="2071" max="2071" width="17.85546875" customWidth="1"/>
    <col min="2072" max="2072" width="27" customWidth="1"/>
    <col min="2073" max="2073" width="12.7109375" customWidth="1"/>
    <col min="2074" max="2074" width="20" customWidth="1"/>
    <col min="2075" max="2075" width="16" bestFit="1" customWidth="1"/>
    <col min="2076" max="2076" width="13.42578125" bestFit="1" customWidth="1"/>
    <col min="2077" max="2077" width="22.42578125" customWidth="1"/>
    <col min="2305" max="2305" width="1.85546875" customWidth="1"/>
    <col min="2306" max="2306" width="6.28515625" bestFit="1" customWidth="1"/>
    <col min="2307" max="2307" width="75.7109375" bestFit="1" customWidth="1"/>
    <col min="2308" max="2308" width="12.7109375" customWidth="1"/>
    <col min="2309" max="2309" width="13.28515625" bestFit="1" customWidth="1"/>
    <col min="2310" max="2310" width="14.140625" bestFit="1" customWidth="1"/>
    <col min="2311" max="2311" width="9" customWidth="1"/>
    <col min="2312" max="2312" width="3.5703125" customWidth="1"/>
    <col min="2313" max="2313" width="3" customWidth="1"/>
    <col min="2314" max="2314" width="3.7109375" customWidth="1"/>
    <col min="2315" max="2315" width="27.7109375" customWidth="1"/>
    <col min="2316" max="2316" width="9.28515625" customWidth="1"/>
    <col min="2317" max="2317" width="9.42578125" customWidth="1"/>
    <col min="2318" max="2318" width="9.85546875" customWidth="1"/>
    <col min="2319" max="2319" width="12.140625" customWidth="1"/>
    <col min="2320" max="2320" width="12.42578125" customWidth="1"/>
    <col min="2321" max="2321" width="10.140625" customWidth="1"/>
    <col min="2322" max="2322" width="10.7109375" customWidth="1"/>
    <col min="2323" max="2323" width="15" customWidth="1"/>
    <col min="2324" max="2324" width="14.85546875" customWidth="1"/>
    <col min="2325" max="2325" width="14.5703125" customWidth="1"/>
    <col min="2326" max="2326" width="12.140625" customWidth="1"/>
    <col min="2327" max="2327" width="17.85546875" customWidth="1"/>
    <col min="2328" max="2328" width="27" customWidth="1"/>
    <col min="2329" max="2329" width="12.7109375" customWidth="1"/>
    <col min="2330" max="2330" width="20" customWidth="1"/>
    <col min="2331" max="2331" width="16" bestFit="1" customWidth="1"/>
    <col min="2332" max="2332" width="13.42578125" bestFit="1" customWidth="1"/>
    <col min="2333" max="2333" width="22.42578125" customWidth="1"/>
    <col min="2561" max="2561" width="1.85546875" customWidth="1"/>
    <col min="2562" max="2562" width="6.28515625" bestFit="1" customWidth="1"/>
    <col min="2563" max="2563" width="75.7109375" bestFit="1" customWidth="1"/>
    <col min="2564" max="2564" width="12.7109375" customWidth="1"/>
    <col min="2565" max="2565" width="13.28515625" bestFit="1" customWidth="1"/>
    <col min="2566" max="2566" width="14.140625" bestFit="1" customWidth="1"/>
    <col min="2567" max="2567" width="9" customWidth="1"/>
    <col min="2568" max="2568" width="3.5703125" customWidth="1"/>
    <col min="2569" max="2569" width="3" customWidth="1"/>
    <col min="2570" max="2570" width="3.7109375" customWidth="1"/>
    <col min="2571" max="2571" width="27.7109375" customWidth="1"/>
    <col min="2572" max="2572" width="9.28515625" customWidth="1"/>
    <col min="2573" max="2573" width="9.42578125" customWidth="1"/>
    <col min="2574" max="2574" width="9.85546875" customWidth="1"/>
    <col min="2575" max="2575" width="12.140625" customWidth="1"/>
    <col min="2576" max="2576" width="12.42578125" customWidth="1"/>
    <col min="2577" max="2577" width="10.140625" customWidth="1"/>
    <col min="2578" max="2578" width="10.7109375" customWidth="1"/>
    <col min="2579" max="2579" width="15" customWidth="1"/>
    <col min="2580" max="2580" width="14.85546875" customWidth="1"/>
    <col min="2581" max="2581" width="14.5703125" customWidth="1"/>
    <col min="2582" max="2582" width="12.140625" customWidth="1"/>
    <col min="2583" max="2583" width="17.85546875" customWidth="1"/>
    <col min="2584" max="2584" width="27" customWidth="1"/>
    <col min="2585" max="2585" width="12.7109375" customWidth="1"/>
    <col min="2586" max="2586" width="20" customWidth="1"/>
    <col min="2587" max="2587" width="16" bestFit="1" customWidth="1"/>
    <col min="2588" max="2588" width="13.42578125" bestFit="1" customWidth="1"/>
    <col min="2589" max="2589" width="22.42578125" customWidth="1"/>
    <col min="2817" max="2817" width="1.85546875" customWidth="1"/>
    <col min="2818" max="2818" width="6.28515625" bestFit="1" customWidth="1"/>
    <col min="2819" max="2819" width="75.7109375" bestFit="1" customWidth="1"/>
    <col min="2820" max="2820" width="12.7109375" customWidth="1"/>
    <col min="2821" max="2821" width="13.28515625" bestFit="1" customWidth="1"/>
    <col min="2822" max="2822" width="14.140625" bestFit="1" customWidth="1"/>
    <col min="2823" max="2823" width="9" customWidth="1"/>
    <col min="2824" max="2824" width="3.5703125" customWidth="1"/>
    <col min="2825" max="2825" width="3" customWidth="1"/>
    <col min="2826" max="2826" width="3.7109375" customWidth="1"/>
    <col min="2827" max="2827" width="27.7109375" customWidth="1"/>
    <col min="2828" max="2828" width="9.28515625" customWidth="1"/>
    <col min="2829" max="2829" width="9.42578125" customWidth="1"/>
    <col min="2830" max="2830" width="9.85546875" customWidth="1"/>
    <col min="2831" max="2831" width="12.140625" customWidth="1"/>
    <col min="2832" max="2832" width="12.42578125" customWidth="1"/>
    <col min="2833" max="2833" width="10.140625" customWidth="1"/>
    <col min="2834" max="2834" width="10.7109375" customWidth="1"/>
    <col min="2835" max="2835" width="15" customWidth="1"/>
    <col min="2836" max="2836" width="14.85546875" customWidth="1"/>
    <col min="2837" max="2837" width="14.5703125" customWidth="1"/>
    <col min="2838" max="2838" width="12.140625" customWidth="1"/>
    <col min="2839" max="2839" width="17.85546875" customWidth="1"/>
    <col min="2840" max="2840" width="27" customWidth="1"/>
    <col min="2841" max="2841" width="12.7109375" customWidth="1"/>
    <col min="2842" max="2842" width="20" customWidth="1"/>
    <col min="2843" max="2843" width="16" bestFit="1" customWidth="1"/>
    <col min="2844" max="2844" width="13.42578125" bestFit="1" customWidth="1"/>
    <col min="2845" max="2845" width="22.42578125" customWidth="1"/>
    <col min="3073" max="3073" width="1.85546875" customWidth="1"/>
    <col min="3074" max="3074" width="6.28515625" bestFit="1" customWidth="1"/>
    <col min="3075" max="3075" width="75.7109375" bestFit="1" customWidth="1"/>
    <col min="3076" max="3076" width="12.7109375" customWidth="1"/>
    <col min="3077" max="3077" width="13.28515625" bestFit="1" customWidth="1"/>
    <col min="3078" max="3078" width="14.140625" bestFit="1" customWidth="1"/>
    <col min="3079" max="3079" width="9" customWidth="1"/>
    <col min="3080" max="3080" width="3.5703125" customWidth="1"/>
    <col min="3081" max="3081" width="3" customWidth="1"/>
    <col min="3082" max="3082" width="3.7109375" customWidth="1"/>
    <col min="3083" max="3083" width="27.7109375" customWidth="1"/>
    <col min="3084" max="3084" width="9.28515625" customWidth="1"/>
    <col min="3085" max="3085" width="9.42578125" customWidth="1"/>
    <col min="3086" max="3086" width="9.85546875" customWidth="1"/>
    <col min="3087" max="3087" width="12.140625" customWidth="1"/>
    <col min="3088" max="3088" width="12.42578125" customWidth="1"/>
    <col min="3089" max="3089" width="10.140625" customWidth="1"/>
    <col min="3090" max="3090" width="10.7109375" customWidth="1"/>
    <col min="3091" max="3091" width="15" customWidth="1"/>
    <col min="3092" max="3092" width="14.85546875" customWidth="1"/>
    <col min="3093" max="3093" width="14.5703125" customWidth="1"/>
    <col min="3094" max="3094" width="12.140625" customWidth="1"/>
    <col min="3095" max="3095" width="17.85546875" customWidth="1"/>
    <col min="3096" max="3096" width="27" customWidth="1"/>
    <col min="3097" max="3097" width="12.7109375" customWidth="1"/>
    <col min="3098" max="3098" width="20" customWidth="1"/>
    <col min="3099" max="3099" width="16" bestFit="1" customWidth="1"/>
    <col min="3100" max="3100" width="13.42578125" bestFit="1" customWidth="1"/>
    <col min="3101" max="3101" width="22.42578125" customWidth="1"/>
    <col min="3329" max="3329" width="1.85546875" customWidth="1"/>
    <col min="3330" max="3330" width="6.28515625" bestFit="1" customWidth="1"/>
    <col min="3331" max="3331" width="75.7109375" bestFit="1" customWidth="1"/>
    <col min="3332" max="3332" width="12.7109375" customWidth="1"/>
    <col min="3333" max="3333" width="13.28515625" bestFit="1" customWidth="1"/>
    <col min="3334" max="3334" width="14.140625" bestFit="1" customWidth="1"/>
    <col min="3335" max="3335" width="9" customWidth="1"/>
    <col min="3336" max="3336" width="3.5703125" customWidth="1"/>
    <col min="3337" max="3337" width="3" customWidth="1"/>
    <col min="3338" max="3338" width="3.7109375" customWidth="1"/>
    <col min="3339" max="3339" width="27.7109375" customWidth="1"/>
    <col min="3340" max="3340" width="9.28515625" customWidth="1"/>
    <col min="3341" max="3341" width="9.42578125" customWidth="1"/>
    <col min="3342" max="3342" width="9.85546875" customWidth="1"/>
    <col min="3343" max="3343" width="12.140625" customWidth="1"/>
    <col min="3344" max="3344" width="12.42578125" customWidth="1"/>
    <col min="3345" max="3345" width="10.140625" customWidth="1"/>
    <col min="3346" max="3346" width="10.7109375" customWidth="1"/>
    <col min="3347" max="3347" width="15" customWidth="1"/>
    <col min="3348" max="3348" width="14.85546875" customWidth="1"/>
    <col min="3349" max="3349" width="14.5703125" customWidth="1"/>
    <col min="3350" max="3350" width="12.140625" customWidth="1"/>
    <col min="3351" max="3351" width="17.85546875" customWidth="1"/>
    <col min="3352" max="3352" width="27" customWidth="1"/>
    <col min="3353" max="3353" width="12.7109375" customWidth="1"/>
    <col min="3354" max="3354" width="20" customWidth="1"/>
    <col min="3355" max="3355" width="16" bestFit="1" customWidth="1"/>
    <col min="3356" max="3356" width="13.42578125" bestFit="1" customWidth="1"/>
    <col min="3357" max="3357" width="22.42578125" customWidth="1"/>
    <col min="3585" max="3585" width="1.85546875" customWidth="1"/>
    <col min="3586" max="3586" width="6.28515625" bestFit="1" customWidth="1"/>
    <col min="3587" max="3587" width="75.7109375" bestFit="1" customWidth="1"/>
    <col min="3588" max="3588" width="12.7109375" customWidth="1"/>
    <col min="3589" max="3589" width="13.28515625" bestFit="1" customWidth="1"/>
    <col min="3590" max="3590" width="14.140625" bestFit="1" customWidth="1"/>
    <col min="3591" max="3591" width="9" customWidth="1"/>
    <col min="3592" max="3592" width="3.5703125" customWidth="1"/>
    <col min="3593" max="3593" width="3" customWidth="1"/>
    <col min="3594" max="3594" width="3.7109375" customWidth="1"/>
    <col min="3595" max="3595" width="27.7109375" customWidth="1"/>
    <col min="3596" max="3596" width="9.28515625" customWidth="1"/>
    <col min="3597" max="3597" width="9.42578125" customWidth="1"/>
    <col min="3598" max="3598" width="9.85546875" customWidth="1"/>
    <col min="3599" max="3599" width="12.140625" customWidth="1"/>
    <col min="3600" max="3600" width="12.42578125" customWidth="1"/>
    <col min="3601" max="3601" width="10.140625" customWidth="1"/>
    <col min="3602" max="3602" width="10.7109375" customWidth="1"/>
    <col min="3603" max="3603" width="15" customWidth="1"/>
    <col min="3604" max="3604" width="14.85546875" customWidth="1"/>
    <col min="3605" max="3605" width="14.5703125" customWidth="1"/>
    <col min="3606" max="3606" width="12.140625" customWidth="1"/>
    <col min="3607" max="3607" width="17.85546875" customWidth="1"/>
    <col min="3608" max="3608" width="27" customWidth="1"/>
    <col min="3609" max="3609" width="12.7109375" customWidth="1"/>
    <col min="3610" max="3610" width="20" customWidth="1"/>
    <col min="3611" max="3611" width="16" bestFit="1" customWidth="1"/>
    <col min="3612" max="3612" width="13.42578125" bestFit="1" customWidth="1"/>
    <col min="3613" max="3613" width="22.42578125" customWidth="1"/>
    <col min="3841" max="3841" width="1.85546875" customWidth="1"/>
    <col min="3842" max="3842" width="6.28515625" bestFit="1" customWidth="1"/>
    <col min="3843" max="3843" width="75.7109375" bestFit="1" customWidth="1"/>
    <col min="3844" max="3844" width="12.7109375" customWidth="1"/>
    <col min="3845" max="3845" width="13.28515625" bestFit="1" customWidth="1"/>
    <col min="3846" max="3846" width="14.140625" bestFit="1" customWidth="1"/>
    <col min="3847" max="3847" width="9" customWidth="1"/>
    <col min="3848" max="3848" width="3.5703125" customWidth="1"/>
    <col min="3849" max="3849" width="3" customWidth="1"/>
    <col min="3850" max="3850" width="3.7109375" customWidth="1"/>
    <col min="3851" max="3851" width="27.7109375" customWidth="1"/>
    <col min="3852" max="3852" width="9.28515625" customWidth="1"/>
    <col min="3853" max="3853" width="9.42578125" customWidth="1"/>
    <col min="3854" max="3854" width="9.85546875" customWidth="1"/>
    <col min="3855" max="3855" width="12.140625" customWidth="1"/>
    <col min="3856" max="3856" width="12.42578125" customWidth="1"/>
    <col min="3857" max="3857" width="10.140625" customWidth="1"/>
    <col min="3858" max="3858" width="10.7109375" customWidth="1"/>
    <col min="3859" max="3859" width="15" customWidth="1"/>
    <col min="3860" max="3860" width="14.85546875" customWidth="1"/>
    <col min="3861" max="3861" width="14.5703125" customWidth="1"/>
    <col min="3862" max="3862" width="12.140625" customWidth="1"/>
    <col min="3863" max="3863" width="17.85546875" customWidth="1"/>
    <col min="3864" max="3864" width="27" customWidth="1"/>
    <col min="3865" max="3865" width="12.7109375" customWidth="1"/>
    <col min="3866" max="3866" width="20" customWidth="1"/>
    <col min="3867" max="3867" width="16" bestFit="1" customWidth="1"/>
    <col min="3868" max="3868" width="13.42578125" bestFit="1" customWidth="1"/>
    <col min="3869" max="3869" width="22.42578125" customWidth="1"/>
    <col min="4097" max="4097" width="1.85546875" customWidth="1"/>
    <col min="4098" max="4098" width="6.28515625" bestFit="1" customWidth="1"/>
    <col min="4099" max="4099" width="75.7109375" bestFit="1" customWidth="1"/>
    <col min="4100" max="4100" width="12.7109375" customWidth="1"/>
    <col min="4101" max="4101" width="13.28515625" bestFit="1" customWidth="1"/>
    <col min="4102" max="4102" width="14.140625" bestFit="1" customWidth="1"/>
    <col min="4103" max="4103" width="9" customWidth="1"/>
    <col min="4104" max="4104" width="3.5703125" customWidth="1"/>
    <col min="4105" max="4105" width="3" customWidth="1"/>
    <col min="4106" max="4106" width="3.7109375" customWidth="1"/>
    <col min="4107" max="4107" width="27.7109375" customWidth="1"/>
    <col min="4108" max="4108" width="9.28515625" customWidth="1"/>
    <col min="4109" max="4109" width="9.42578125" customWidth="1"/>
    <col min="4110" max="4110" width="9.85546875" customWidth="1"/>
    <col min="4111" max="4111" width="12.140625" customWidth="1"/>
    <col min="4112" max="4112" width="12.42578125" customWidth="1"/>
    <col min="4113" max="4113" width="10.140625" customWidth="1"/>
    <col min="4114" max="4114" width="10.7109375" customWidth="1"/>
    <col min="4115" max="4115" width="15" customWidth="1"/>
    <col min="4116" max="4116" width="14.85546875" customWidth="1"/>
    <col min="4117" max="4117" width="14.5703125" customWidth="1"/>
    <col min="4118" max="4118" width="12.140625" customWidth="1"/>
    <col min="4119" max="4119" width="17.85546875" customWidth="1"/>
    <col min="4120" max="4120" width="27" customWidth="1"/>
    <col min="4121" max="4121" width="12.7109375" customWidth="1"/>
    <col min="4122" max="4122" width="20" customWidth="1"/>
    <col min="4123" max="4123" width="16" bestFit="1" customWidth="1"/>
    <col min="4124" max="4124" width="13.42578125" bestFit="1" customWidth="1"/>
    <col min="4125" max="4125" width="22.42578125" customWidth="1"/>
    <col min="4353" max="4353" width="1.85546875" customWidth="1"/>
    <col min="4354" max="4354" width="6.28515625" bestFit="1" customWidth="1"/>
    <col min="4355" max="4355" width="75.7109375" bestFit="1" customWidth="1"/>
    <col min="4356" max="4356" width="12.7109375" customWidth="1"/>
    <col min="4357" max="4357" width="13.28515625" bestFit="1" customWidth="1"/>
    <col min="4358" max="4358" width="14.140625" bestFit="1" customWidth="1"/>
    <col min="4359" max="4359" width="9" customWidth="1"/>
    <col min="4360" max="4360" width="3.5703125" customWidth="1"/>
    <col min="4361" max="4361" width="3" customWidth="1"/>
    <col min="4362" max="4362" width="3.7109375" customWidth="1"/>
    <col min="4363" max="4363" width="27.7109375" customWidth="1"/>
    <col min="4364" max="4364" width="9.28515625" customWidth="1"/>
    <col min="4365" max="4365" width="9.42578125" customWidth="1"/>
    <col min="4366" max="4366" width="9.85546875" customWidth="1"/>
    <col min="4367" max="4367" width="12.140625" customWidth="1"/>
    <col min="4368" max="4368" width="12.42578125" customWidth="1"/>
    <col min="4369" max="4369" width="10.140625" customWidth="1"/>
    <col min="4370" max="4370" width="10.7109375" customWidth="1"/>
    <col min="4371" max="4371" width="15" customWidth="1"/>
    <col min="4372" max="4372" width="14.85546875" customWidth="1"/>
    <col min="4373" max="4373" width="14.5703125" customWidth="1"/>
    <col min="4374" max="4374" width="12.140625" customWidth="1"/>
    <col min="4375" max="4375" width="17.85546875" customWidth="1"/>
    <col min="4376" max="4376" width="27" customWidth="1"/>
    <col min="4377" max="4377" width="12.7109375" customWidth="1"/>
    <col min="4378" max="4378" width="20" customWidth="1"/>
    <col min="4379" max="4379" width="16" bestFit="1" customWidth="1"/>
    <col min="4380" max="4380" width="13.42578125" bestFit="1" customWidth="1"/>
    <col min="4381" max="4381" width="22.42578125" customWidth="1"/>
    <col min="4609" max="4609" width="1.85546875" customWidth="1"/>
    <col min="4610" max="4610" width="6.28515625" bestFit="1" customWidth="1"/>
    <col min="4611" max="4611" width="75.7109375" bestFit="1" customWidth="1"/>
    <col min="4612" max="4612" width="12.7109375" customWidth="1"/>
    <col min="4613" max="4613" width="13.28515625" bestFit="1" customWidth="1"/>
    <col min="4614" max="4614" width="14.140625" bestFit="1" customWidth="1"/>
    <col min="4615" max="4615" width="9" customWidth="1"/>
    <col min="4616" max="4616" width="3.5703125" customWidth="1"/>
    <col min="4617" max="4617" width="3" customWidth="1"/>
    <col min="4618" max="4618" width="3.7109375" customWidth="1"/>
    <col min="4619" max="4619" width="27.7109375" customWidth="1"/>
    <col min="4620" max="4620" width="9.28515625" customWidth="1"/>
    <col min="4621" max="4621" width="9.42578125" customWidth="1"/>
    <col min="4622" max="4622" width="9.85546875" customWidth="1"/>
    <col min="4623" max="4623" width="12.140625" customWidth="1"/>
    <col min="4624" max="4624" width="12.42578125" customWidth="1"/>
    <col min="4625" max="4625" width="10.140625" customWidth="1"/>
    <col min="4626" max="4626" width="10.7109375" customWidth="1"/>
    <col min="4627" max="4627" width="15" customWidth="1"/>
    <col min="4628" max="4628" width="14.85546875" customWidth="1"/>
    <col min="4629" max="4629" width="14.5703125" customWidth="1"/>
    <col min="4630" max="4630" width="12.140625" customWidth="1"/>
    <col min="4631" max="4631" width="17.85546875" customWidth="1"/>
    <col min="4632" max="4632" width="27" customWidth="1"/>
    <col min="4633" max="4633" width="12.7109375" customWidth="1"/>
    <col min="4634" max="4634" width="20" customWidth="1"/>
    <col min="4635" max="4635" width="16" bestFit="1" customWidth="1"/>
    <col min="4636" max="4636" width="13.42578125" bestFit="1" customWidth="1"/>
    <col min="4637" max="4637" width="22.42578125" customWidth="1"/>
    <col min="4865" max="4865" width="1.85546875" customWidth="1"/>
    <col min="4866" max="4866" width="6.28515625" bestFit="1" customWidth="1"/>
    <col min="4867" max="4867" width="75.7109375" bestFit="1" customWidth="1"/>
    <col min="4868" max="4868" width="12.7109375" customWidth="1"/>
    <col min="4869" max="4869" width="13.28515625" bestFit="1" customWidth="1"/>
    <col min="4870" max="4870" width="14.140625" bestFit="1" customWidth="1"/>
    <col min="4871" max="4871" width="9" customWidth="1"/>
    <col min="4872" max="4872" width="3.5703125" customWidth="1"/>
    <col min="4873" max="4873" width="3" customWidth="1"/>
    <col min="4874" max="4874" width="3.7109375" customWidth="1"/>
    <col min="4875" max="4875" width="27.7109375" customWidth="1"/>
    <col min="4876" max="4876" width="9.28515625" customWidth="1"/>
    <col min="4877" max="4877" width="9.42578125" customWidth="1"/>
    <col min="4878" max="4878" width="9.85546875" customWidth="1"/>
    <col min="4879" max="4879" width="12.140625" customWidth="1"/>
    <col min="4880" max="4880" width="12.42578125" customWidth="1"/>
    <col min="4881" max="4881" width="10.140625" customWidth="1"/>
    <col min="4882" max="4882" width="10.7109375" customWidth="1"/>
    <col min="4883" max="4883" width="15" customWidth="1"/>
    <col min="4884" max="4884" width="14.85546875" customWidth="1"/>
    <col min="4885" max="4885" width="14.5703125" customWidth="1"/>
    <col min="4886" max="4886" width="12.140625" customWidth="1"/>
    <col min="4887" max="4887" width="17.85546875" customWidth="1"/>
    <col min="4888" max="4888" width="27" customWidth="1"/>
    <col min="4889" max="4889" width="12.7109375" customWidth="1"/>
    <col min="4890" max="4890" width="20" customWidth="1"/>
    <col min="4891" max="4891" width="16" bestFit="1" customWidth="1"/>
    <col min="4892" max="4892" width="13.42578125" bestFit="1" customWidth="1"/>
    <col min="4893" max="4893" width="22.42578125" customWidth="1"/>
    <col min="5121" max="5121" width="1.85546875" customWidth="1"/>
    <col min="5122" max="5122" width="6.28515625" bestFit="1" customWidth="1"/>
    <col min="5123" max="5123" width="75.7109375" bestFit="1" customWidth="1"/>
    <col min="5124" max="5124" width="12.7109375" customWidth="1"/>
    <col min="5125" max="5125" width="13.28515625" bestFit="1" customWidth="1"/>
    <col min="5126" max="5126" width="14.140625" bestFit="1" customWidth="1"/>
    <col min="5127" max="5127" width="9" customWidth="1"/>
    <col min="5128" max="5128" width="3.5703125" customWidth="1"/>
    <col min="5129" max="5129" width="3" customWidth="1"/>
    <col min="5130" max="5130" width="3.7109375" customWidth="1"/>
    <col min="5131" max="5131" width="27.7109375" customWidth="1"/>
    <col min="5132" max="5132" width="9.28515625" customWidth="1"/>
    <col min="5133" max="5133" width="9.42578125" customWidth="1"/>
    <col min="5134" max="5134" width="9.85546875" customWidth="1"/>
    <col min="5135" max="5135" width="12.140625" customWidth="1"/>
    <col min="5136" max="5136" width="12.42578125" customWidth="1"/>
    <col min="5137" max="5137" width="10.140625" customWidth="1"/>
    <col min="5138" max="5138" width="10.7109375" customWidth="1"/>
    <col min="5139" max="5139" width="15" customWidth="1"/>
    <col min="5140" max="5140" width="14.85546875" customWidth="1"/>
    <col min="5141" max="5141" width="14.5703125" customWidth="1"/>
    <col min="5142" max="5142" width="12.140625" customWidth="1"/>
    <col min="5143" max="5143" width="17.85546875" customWidth="1"/>
    <col min="5144" max="5144" width="27" customWidth="1"/>
    <col min="5145" max="5145" width="12.7109375" customWidth="1"/>
    <col min="5146" max="5146" width="20" customWidth="1"/>
    <col min="5147" max="5147" width="16" bestFit="1" customWidth="1"/>
    <col min="5148" max="5148" width="13.42578125" bestFit="1" customWidth="1"/>
    <col min="5149" max="5149" width="22.42578125" customWidth="1"/>
    <col min="5377" max="5377" width="1.85546875" customWidth="1"/>
    <col min="5378" max="5378" width="6.28515625" bestFit="1" customWidth="1"/>
    <col min="5379" max="5379" width="75.7109375" bestFit="1" customWidth="1"/>
    <col min="5380" max="5380" width="12.7109375" customWidth="1"/>
    <col min="5381" max="5381" width="13.28515625" bestFit="1" customWidth="1"/>
    <col min="5382" max="5382" width="14.140625" bestFit="1" customWidth="1"/>
    <col min="5383" max="5383" width="9" customWidth="1"/>
    <col min="5384" max="5384" width="3.5703125" customWidth="1"/>
    <col min="5385" max="5385" width="3" customWidth="1"/>
    <col min="5386" max="5386" width="3.7109375" customWidth="1"/>
    <col min="5387" max="5387" width="27.7109375" customWidth="1"/>
    <col min="5388" max="5388" width="9.28515625" customWidth="1"/>
    <col min="5389" max="5389" width="9.42578125" customWidth="1"/>
    <col min="5390" max="5390" width="9.85546875" customWidth="1"/>
    <col min="5391" max="5391" width="12.140625" customWidth="1"/>
    <col min="5392" max="5392" width="12.42578125" customWidth="1"/>
    <col min="5393" max="5393" width="10.140625" customWidth="1"/>
    <col min="5394" max="5394" width="10.7109375" customWidth="1"/>
    <col min="5395" max="5395" width="15" customWidth="1"/>
    <col min="5396" max="5396" width="14.85546875" customWidth="1"/>
    <col min="5397" max="5397" width="14.5703125" customWidth="1"/>
    <col min="5398" max="5398" width="12.140625" customWidth="1"/>
    <col min="5399" max="5399" width="17.85546875" customWidth="1"/>
    <col min="5400" max="5400" width="27" customWidth="1"/>
    <col min="5401" max="5401" width="12.7109375" customWidth="1"/>
    <col min="5402" max="5402" width="20" customWidth="1"/>
    <col min="5403" max="5403" width="16" bestFit="1" customWidth="1"/>
    <col min="5404" max="5404" width="13.42578125" bestFit="1" customWidth="1"/>
    <col min="5405" max="5405" width="22.42578125" customWidth="1"/>
    <col min="5633" max="5633" width="1.85546875" customWidth="1"/>
    <col min="5634" max="5634" width="6.28515625" bestFit="1" customWidth="1"/>
    <col min="5635" max="5635" width="75.7109375" bestFit="1" customWidth="1"/>
    <col min="5636" max="5636" width="12.7109375" customWidth="1"/>
    <col min="5637" max="5637" width="13.28515625" bestFit="1" customWidth="1"/>
    <col min="5638" max="5638" width="14.140625" bestFit="1" customWidth="1"/>
    <col min="5639" max="5639" width="9" customWidth="1"/>
    <col min="5640" max="5640" width="3.5703125" customWidth="1"/>
    <col min="5641" max="5641" width="3" customWidth="1"/>
    <col min="5642" max="5642" width="3.7109375" customWidth="1"/>
    <col min="5643" max="5643" width="27.7109375" customWidth="1"/>
    <col min="5644" max="5644" width="9.28515625" customWidth="1"/>
    <col min="5645" max="5645" width="9.42578125" customWidth="1"/>
    <col min="5646" max="5646" width="9.85546875" customWidth="1"/>
    <col min="5647" max="5647" width="12.140625" customWidth="1"/>
    <col min="5648" max="5648" width="12.42578125" customWidth="1"/>
    <col min="5649" max="5649" width="10.140625" customWidth="1"/>
    <col min="5650" max="5650" width="10.7109375" customWidth="1"/>
    <col min="5651" max="5651" width="15" customWidth="1"/>
    <col min="5652" max="5652" width="14.85546875" customWidth="1"/>
    <col min="5653" max="5653" width="14.5703125" customWidth="1"/>
    <col min="5654" max="5654" width="12.140625" customWidth="1"/>
    <col min="5655" max="5655" width="17.85546875" customWidth="1"/>
    <col min="5656" max="5656" width="27" customWidth="1"/>
    <col min="5657" max="5657" width="12.7109375" customWidth="1"/>
    <col min="5658" max="5658" width="20" customWidth="1"/>
    <col min="5659" max="5659" width="16" bestFit="1" customWidth="1"/>
    <col min="5660" max="5660" width="13.42578125" bestFit="1" customWidth="1"/>
    <col min="5661" max="5661" width="22.42578125" customWidth="1"/>
    <col min="5889" max="5889" width="1.85546875" customWidth="1"/>
    <col min="5890" max="5890" width="6.28515625" bestFit="1" customWidth="1"/>
    <col min="5891" max="5891" width="75.7109375" bestFit="1" customWidth="1"/>
    <col min="5892" max="5892" width="12.7109375" customWidth="1"/>
    <col min="5893" max="5893" width="13.28515625" bestFit="1" customWidth="1"/>
    <col min="5894" max="5894" width="14.140625" bestFit="1" customWidth="1"/>
    <col min="5895" max="5895" width="9" customWidth="1"/>
    <col min="5896" max="5896" width="3.5703125" customWidth="1"/>
    <col min="5897" max="5897" width="3" customWidth="1"/>
    <col min="5898" max="5898" width="3.7109375" customWidth="1"/>
    <col min="5899" max="5899" width="27.7109375" customWidth="1"/>
    <col min="5900" max="5900" width="9.28515625" customWidth="1"/>
    <col min="5901" max="5901" width="9.42578125" customWidth="1"/>
    <col min="5902" max="5902" width="9.85546875" customWidth="1"/>
    <col min="5903" max="5903" width="12.140625" customWidth="1"/>
    <col min="5904" max="5904" width="12.42578125" customWidth="1"/>
    <col min="5905" max="5905" width="10.140625" customWidth="1"/>
    <col min="5906" max="5906" width="10.7109375" customWidth="1"/>
    <col min="5907" max="5907" width="15" customWidth="1"/>
    <col min="5908" max="5908" width="14.85546875" customWidth="1"/>
    <col min="5909" max="5909" width="14.5703125" customWidth="1"/>
    <col min="5910" max="5910" width="12.140625" customWidth="1"/>
    <col min="5911" max="5911" width="17.85546875" customWidth="1"/>
    <col min="5912" max="5912" width="27" customWidth="1"/>
    <col min="5913" max="5913" width="12.7109375" customWidth="1"/>
    <col min="5914" max="5914" width="20" customWidth="1"/>
    <col min="5915" max="5915" width="16" bestFit="1" customWidth="1"/>
    <col min="5916" max="5916" width="13.42578125" bestFit="1" customWidth="1"/>
    <col min="5917" max="5917" width="22.42578125" customWidth="1"/>
    <col min="6145" max="6145" width="1.85546875" customWidth="1"/>
    <col min="6146" max="6146" width="6.28515625" bestFit="1" customWidth="1"/>
    <col min="6147" max="6147" width="75.7109375" bestFit="1" customWidth="1"/>
    <col min="6148" max="6148" width="12.7109375" customWidth="1"/>
    <col min="6149" max="6149" width="13.28515625" bestFit="1" customWidth="1"/>
    <col min="6150" max="6150" width="14.140625" bestFit="1" customWidth="1"/>
    <col min="6151" max="6151" width="9" customWidth="1"/>
    <col min="6152" max="6152" width="3.5703125" customWidth="1"/>
    <col min="6153" max="6153" width="3" customWidth="1"/>
    <col min="6154" max="6154" width="3.7109375" customWidth="1"/>
    <col min="6155" max="6155" width="27.7109375" customWidth="1"/>
    <col min="6156" max="6156" width="9.28515625" customWidth="1"/>
    <col min="6157" max="6157" width="9.42578125" customWidth="1"/>
    <col min="6158" max="6158" width="9.85546875" customWidth="1"/>
    <col min="6159" max="6159" width="12.140625" customWidth="1"/>
    <col min="6160" max="6160" width="12.42578125" customWidth="1"/>
    <col min="6161" max="6161" width="10.140625" customWidth="1"/>
    <col min="6162" max="6162" width="10.7109375" customWidth="1"/>
    <col min="6163" max="6163" width="15" customWidth="1"/>
    <col min="6164" max="6164" width="14.85546875" customWidth="1"/>
    <col min="6165" max="6165" width="14.5703125" customWidth="1"/>
    <col min="6166" max="6166" width="12.140625" customWidth="1"/>
    <col min="6167" max="6167" width="17.85546875" customWidth="1"/>
    <col min="6168" max="6168" width="27" customWidth="1"/>
    <col min="6169" max="6169" width="12.7109375" customWidth="1"/>
    <col min="6170" max="6170" width="20" customWidth="1"/>
    <col min="6171" max="6171" width="16" bestFit="1" customWidth="1"/>
    <col min="6172" max="6172" width="13.42578125" bestFit="1" customWidth="1"/>
    <col min="6173" max="6173" width="22.42578125" customWidth="1"/>
    <col min="6401" max="6401" width="1.85546875" customWidth="1"/>
    <col min="6402" max="6402" width="6.28515625" bestFit="1" customWidth="1"/>
    <col min="6403" max="6403" width="75.7109375" bestFit="1" customWidth="1"/>
    <col min="6404" max="6404" width="12.7109375" customWidth="1"/>
    <col min="6405" max="6405" width="13.28515625" bestFit="1" customWidth="1"/>
    <col min="6406" max="6406" width="14.140625" bestFit="1" customWidth="1"/>
    <col min="6407" max="6407" width="9" customWidth="1"/>
    <col min="6408" max="6408" width="3.5703125" customWidth="1"/>
    <col min="6409" max="6409" width="3" customWidth="1"/>
    <col min="6410" max="6410" width="3.7109375" customWidth="1"/>
    <col min="6411" max="6411" width="27.7109375" customWidth="1"/>
    <col min="6412" max="6412" width="9.28515625" customWidth="1"/>
    <col min="6413" max="6413" width="9.42578125" customWidth="1"/>
    <col min="6414" max="6414" width="9.85546875" customWidth="1"/>
    <col min="6415" max="6415" width="12.140625" customWidth="1"/>
    <col min="6416" max="6416" width="12.42578125" customWidth="1"/>
    <col min="6417" max="6417" width="10.140625" customWidth="1"/>
    <col min="6418" max="6418" width="10.7109375" customWidth="1"/>
    <col min="6419" max="6419" width="15" customWidth="1"/>
    <col min="6420" max="6420" width="14.85546875" customWidth="1"/>
    <col min="6421" max="6421" width="14.5703125" customWidth="1"/>
    <col min="6422" max="6422" width="12.140625" customWidth="1"/>
    <col min="6423" max="6423" width="17.85546875" customWidth="1"/>
    <col min="6424" max="6424" width="27" customWidth="1"/>
    <col min="6425" max="6425" width="12.7109375" customWidth="1"/>
    <col min="6426" max="6426" width="20" customWidth="1"/>
    <col min="6427" max="6427" width="16" bestFit="1" customWidth="1"/>
    <col min="6428" max="6428" width="13.42578125" bestFit="1" customWidth="1"/>
    <col min="6429" max="6429" width="22.42578125" customWidth="1"/>
    <col min="6657" max="6657" width="1.85546875" customWidth="1"/>
    <col min="6658" max="6658" width="6.28515625" bestFit="1" customWidth="1"/>
    <col min="6659" max="6659" width="75.7109375" bestFit="1" customWidth="1"/>
    <col min="6660" max="6660" width="12.7109375" customWidth="1"/>
    <col min="6661" max="6661" width="13.28515625" bestFit="1" customWidth="1"/>
    <col min="6662" max="6662" width="14.140625" bestFit="1" customWidth="1"/>
    <col min="6663" max="6663" width="9" customWidth="1"/>
    <col min="6664" max="6664" width="3.5703125" customWidth="1"/>
    <col min="6665" max="6665" width="3" customWidth="1"/>
    <col min="6666" max="6666" width="3.7109375" customWidth="1"/>
    <col min="6667" max="6667" width="27.7109375" customWidth="1"/>
    <col min="6668" max="6668" width="9.28515625" customWidth="1"/>
    <col min="6669" max="6669" width="9.42578125" customWidth="1"/>
    <col min="6670" max="6670" width="9.85546875" customWidth="1"/>
    <col min="6671" max="6671" width="12.140625" customWidth="1"/>
    <col min="6672" max="6672" width="12.42578125" customWidth="1"/>
    <col min="6673" max="6673" width="10.140625" customWidth="1"/>
    <col min="6674" max="6674" width="10.7109375" customWidth="1"/>
    <col min="6675" max="6675" width="15" customWidth="1"/>
    <col min="6676" max="6676" width="14.85546875" customWidth="1"/>
    <col min="6677" max="6677" width="14.5703125" customWidth="1"/>
    <col min="6678" max="6678" width="12.140625" customWidth="1"/>
    <col min="6679" max="6679" width="17.85546875" customWidth="1"/>
    <col min="6680" max="6680" width="27" customWidth="1"/>
    <col min="6681" max="6681" width="12.7109375" customWidth="1"/>
    <col min="6682" max="6682" width="20" customWidth="1"/>
    <col min="6683" max="6683" width="16" bestFit="1" customWidth="1"/>
    <col min="6684" max="6684" width="13.42578125" bestFit="1" customWidth="1"/>
    <col min="6685" max="6685" width="22.42578125" customWidth="1"/>
    <col min="6913" max="6913" width="1.85546875" customWidth="1"/>
    <col min="6914" max="6914" width="6.28515625" bestFit="1" customWidth="1"/>
    <col min="6915" max="6915" width="75.7109375" bestFit="1" customWidth="1"/>
    <col min="6916" max="6916" width="12.7109375" customWidth="1"/>
    <col min="6917" max="6917" width="13.28515625" bestFit="1" customWidth="1"/>
    <col min="6918" max="6918" width="14.140625" bestFit="1" customWidth="1"/>
    <col min="6919" max="6919" width="9" customWidth="1"/>
    <col min="6920" max="6920" width="3.5703125" customWidth="1"/>
    <col min="6921" max="6921" width="3" customWidth="1"/>
    <col min="6922" max="6922" width="3.7109375" customWidth="1"/>
    <col min="6923" max="6923" width="27.7109375" customWidth="1"/>
    <col min="6924" max="6924" width="9.28515625" customWidth="1"/>
    <col min="6925" max="6925" width="9.42578125" customWidth="1"/>
    <col min="6926" max="6926" width="9.85546875" customWidth="1"/>
    <col min="6927" max="6927" width="12.140625" customWidth="1"/>
    <col min="6928" max="6928" width="12.42578125" customWidth="1"/>
    <col min="6929" max="6929" width="10.140625" customWidth="1"/>
    <col min="6930" max="6930" width="10.7109375" customWidth="1"/>
    <col min="6931" max="6931" width="15" customWidth="1"/>
    <col min="6932" max="6932" width="14.85546875" customWidth="1"/>
    <col min="6933" max="6933" width="14.5703125" customWidth="1"/>
    <col min="6934" max="6934" width="12.140625" customWidth="1"/>
    <col min="6935" max="6935" width="17.85546875" customWidth="1"/>
    <col min="6936" max="6936" width="27" customWidth="1"/>
    <col min="6937" max="6937" width="12.7109375" customWidth="1"/>
    <col min="6938" max="6938" width="20" customWidth="1"/>
    <col min="6939" max="6939" width="16" bestFit="1" customWidth="1"/>
    <col min="6940" max="6940" width="13.42578125" bestFit="1" customWidth="1"/>
    <col min="6941" max="6941" width="22.42578125" customWidth="1"/>
    <col min="7169" max="7169" width="1.85546875" customWidth="1"/>
    <col min="7170" max="7170" width="6.28515625" bestFit="1" customWidth="1"/>
    <col min="7171" max="7171" width="75.7109375" bestFit="1" customWidth="1"/>
    <col min="7172" max="7172" width="12.7109375" customWidth="1"/>
    <col min="7173" max="7173" width="13.28515625" bestFit="1" customWidth="1"/>
    <col min="7174" max="7174" width="14.140625" bestFit="1" customWidth="1"/>
    <col min="7175" max="7175" width="9" customWidth="1"/>
    <col min="7176" max="7176" width="3.5703125" customWidth="1"/>
    <col min="7177" max="7177" width="3" customWidth="1"/>
    <col min="7178" max="7178" width="3.7109375" customWidth="1"/>
    <col min="7179" max="7179" width="27.7109375" customWidth="1"/>
    <col min="7180" max="7180" width="9.28515625" customWidth="1"/>
    <col min="7181" max="7181" width="9.42578125" customWidth="1"/>
    <col min="7182" max="7182" width="9.85546875" customWidth="1"/>
    <col min="7183" max="7183" width="12.140625" customWidth="1"/>
    <col min="7184" max="7184" width="12.42578125" customWidth="1"/>
    <col min="7185" max="7185" width="10.140625" customWidth="1"/>
    <col min="7186" max="7186" width="10.7109375" customWidth="1"/>
    <col min="7187" max="7187" width="15" customWidth="1"/>
    <col min="7188" max="7188" width="14.85546875" customWidth="1"/>
    <col min="7189" max="7189" width="14.5703125" customWidth="1"/>
    <col min="7190" max="7190" width="12.140625" customWidth="1"/>
    <col min="7191" max="7191" width="17.85546875" customWidth="1"/>
    <col min="7192" max="7192" width="27" customWidth="1"/>
    <col min="7193" max="7193" width="12.7109375" customWidth="1"/>
    <col min="7194" max="7194" width="20" customWidth="1"/>
    <col min="7195" max="7195" width="16" bestFit="1" customWidth="1"/>
    <col min="7196" max="7196" width="13.42578125" bestFit="1" customWidth="1"/>
    <col min="7197" max="7197" width="22.42578125" customWidth="1"/>
    <col min="7425" max="7425" width="1.85546875" customWidth="1"/>
    <col min="7426" max="7426" width="6.28515625" bestFit="1" customWidth="1"/>
    <col min="7427" max="7427" width="75.7109375" bestFit="1" customWidth="1"/>
    <col min="7428" max="7428" width="12.7109375" customWidth="1"/>
    <col min="7429" max="7429" width="13.28515625" bestFit="1" customWidth="1"/>
    <col min="7430" max="7430" width="14.140625" bestFit="1" customWidth="1"/>
    <col min="7431" max="7431" width="9" customWidth="1"/>
    <col min="7432" max="7432" width="3.5703125" customWidth="1"/>
    <col min="7433" max="7433" width="3" customWidth="1"/>
    <col min="7434" max="7434" width="3.7109375" customWidth="1"/>
    <col min="7435" max="7435" width="27.7109375" customWidth="1"/>
    <col min="7436" max="7436" width="9.28515625" customWidth="1"/>
    <col min="7437" max="7437" width="9.42578125" customWidth="1"/>
    <col min="7438" max="7438" width="9.85546875" customWidth="1"/>
    <col min="7439" max="7439" width="12.140625" customWidth="1"/>
    <col min="7440" max="7440" width="12.42578125" customWidth="1"/>
    <col min="7441" max="7441" width="10.140625" customWidth="1"/>
    <col min="7442" max="7442" width="10.7109375" customWidth="1"/>
    <col min="7443" max="7443" width="15" customWidth="1"/>
    <col min="7444" max="7444" width="14.85546875" customWidth="1"/>
    <col min="7445" max="7445" width="14.5703125" customWidth="1"/>
    <col min="7446" max="7446" width="12.140625" customWidth="1"/>
    <col min="7447" max="7447" width="17.85546875" customWidth="1"/>
    <col min="7448" max="7448" width="27" customWidth="1"/>
    <col min="7449" max="7449" width="12.7109375" customWidth="1"/>
    <col min="7450" max="7450" width="20" customWidth="1"/>
    <col min="7451" max="7451" width="16" bestFit="1" customWidth="1"/>
    <col min="7452" max="7452" width="13.42578125" bestFit="1" customWidth="1"/>
    <col min="7453" max="7453" width="22.42578125" customWidth="1"/>
    <col min="7681" max="7681" width="1.85546875" customWidth="1"/>
    <col min="7682" max="7682" width="6.28515625" bestFit="1" customWidth="1"/>
    <col min="7683" max="7683" width="75.7109375" bestFit="1" customWidth="1"/>
    <col min="7684" max="7684" width="12.7109375" customWidth="1"/>
    <col min="7685" max="7685" width="13.28515625" bestFit="1" customWidth="1"/>
    <col min="7686" max="7686" width="14.140625" bestFit="1" customWidth="1"/>
    <col min="7687" max="7687" width="9" customWidth="1"/>
    <col min="7688" max="7688" width="3.5703125" customWidth="1"/>
    <col min="7689" max="7689" width="3" customWidth="1"/>
    <col min="7690" max="7690" width="3.7109375" customWidth="1"/>
    <col min="7691" max="7691" width="27.7109375" customWidth="1"/>
    <col min="7692" max="7692" width="9.28515625" customWidth="1"/>
    <col min="7693" max="7693" width="9.42578125" customWidth="1"/>
    <col min="7694" max="7694" width="9.85546875" customWidth="1"/>
    <col min="7695" max="7695" width="12.140625" customWidth="1"/>
    <col min="7696" max="7696" width="12.42578125" customWidth="1"/>
    <col min="7697" max="7697" width="10.140625" customWidth="1"/>
    <col min="7698" max="7698" width="10.7109375" customWidth="1"/>
    <col min="7699" max="7699" width="15" customWidth="1"/>
    <col min="7700" max="7700" width="14.85546875" customWidth="1"/>
    <col min="7701" max="7701" width="14.5703125" customWidth="1"/>
    <col min="7702" max="7702" width="12.140625" customWidth="1"/>
    <col min="7703" max="7703" width="17.85546875" customWidth="1"/>
    <col min="7704" max="7704" width="27" customWidth="1"/>
    <col min="7705" max="7705" width="12.7109375" customWidth="1"/>
    <col min="7706" max="7706" width="20" customWidth="1"/>
    <col min="7707" max="7707" width="16" bestFit="1" customWidth="1"/>
    <col min="7708" max="7708" width="13.42578125" bestFit="1" customWidth="1"/>
    <col min="7709" max="7709" width="22.42578125" customWidth="1"/>
    <col min="7937" max="7937" width="1.85546875" customWidth="1"/>
    <col min="7938" max="7938" width="6.28515625" bestFit="1" customWidth="1"/>
    <col min="7939" max="7939" width="75.7109375" bestFit="1" customWidth="1"/>
    <col min="7940" max="7940" width="12.7109375" customWidth="1"/>
    <col min="7941" max="7941" width="13.28515625" bestFit="1" customWidth="1"/>
    <col min="7942" max="7942" width="14.140625" bestFit="1" customWidth="1"/>
    <col min="7943" max="7943" width="9" customWidth="1"/>
    <col min="7944" max="7944" width="3.5703125" customWidth="1"/>
    <col min="7945" max="7945" width="3" customWidth="1"/>
    <col min="7946" max="7946" width="3.7109375" customWidth="1"/>
    <col min="7947" max="7947" width="27.7109375" customWidth="1"/>
    <col min="7948" max="7948" width="9.28515625" customWidth="1"/>
    <col min="7949" max="7949" width="9.42578125" customWidth="1"/>
    <col min="7950" max="7950" width="9.85546875" customWidth="1"/>
    <col min="7951" max="7951" width="12.140625" customWidth="1"/>
    <col min="7952" max="7952" width="12.42578125" customWidth="1"/>
    <col min="7953" max="7953" width="10.140625" customWidth="1"/>
    <col min="7954" max="7954" width="10.7109375" customWidth="1"/>
    <col min="7955" max="7955" width="15" customWidth="1"/>
    <col min="7956" max="7956" width="14.85546875" customWidth="1"/>
    <col min="7957" max="7957" width="14.5703125" customWidth="1"/>
    <col min="7958" max="7958" width="12.140625" customWidth="1"/>
    <col min="7959" max="7959" width="17.85546875" customWidth="1"/>
    <col min="7960" max="7960" width="27" customWidth="1"/>
    <col min="7961" max="7961" width="12.7109375" customWidth="1"/>
    <col min="7962" max="7962" width="20" customWidth="1"/>
    <col min="7963" max="7963" width="16" bestFit="1" customWidth="1"/>
    <col min="7964" max="7964" width="13.42578125" bestFit="1" customWidth="1"/>
    <col min="7965" max="7965" width="22.42578125" customWidth="1"/>
    <col min="8193" max="8193" width="1.85546875" customWidth="1"/>
    <col min="8194" max="8194" width="6.28515625" bestFit="1" customWidth="1"/>
    <col min="8195" max="8195" width="75.7109375" bestFit="1" customWidth="1"/>
    <col min="8196" max="8196" width="12.7109375" customWidth="1"/>
    <col min="8197" max="8197" width="13.28515625" bestFit="1" customWidth="1"/>
    <col min="8198" max="8198" width="14.140625" bestFit="1" customWidth="1"/>
    <col min="8199" max="8199" width="9" customWidth="1"/>
    <col min="8200" max="8200" width="3.5703125" customWidth="1"/>
    <col min="8201" max="8201" width="3" customWidth="1"/>
    <col min="8202" max="8202" width="3.7109375" customWidth="1"/>
    <col min="8203" max="8203" width="27.7109375" customWidth="1"/>
    <col min="8204" max="8204" width="9.28515625" customWidth="1"/>
    <col min="8205" max="8205" width="9.42578125" customWidth="1"/>
    <col min="8206" max="8206" width="9.85546875" customWidth="1"/>
    <col min="8207" max="8207" width="12.140625" customWidth="1"/>
    <col min="8208" max="8208" width="12.42578125" customWidth="1"/>
    <col min="8209" max="8209" width="10.140625" customWidth="1"/>
    <col min="8210" max="8210" width="10.7109375" customWidth="1"/>
    <col min="8211" max="8211" width="15" customWidth="1"/>
    <col min="8212" max="8212" width="14.85546875" customWidth="1"/>
    <col min="8213" max="8213" width="14.5703125" customWidth="1"/>
    <col min="8214" max="8214" width="12.140625" customWidth="1"/>
    <col min="8215" max="8215" width="17.85546875" customWidth="1"/>
    <col min="8216" max="8216" width="27" customWidth="1"/>
    <col min="8217" max="8217" width="12.7109375" customWidth="1"/>
    <col min="8218" max="8218" width="20" customWidth="1"/>
    <col min="8219" max="8219" width="16" bestFit="1" customWidth="1"/>
    <col min="8220" max="8220" width="13.42578125" bestFit="1" customWidth="1"/>
    <col min="8221" max="8221" width="22.42578125" customWidth="1"/>
    <col min="8449" max="8449" width="1.85546875" customWidth="1"/>
    <col min="8450" max="8450" width="6.28515625" bestFit="1" customWidth="1"/>
    <col min="8451" max="8451" width="75.7109375" bestFit="1" customWidth="1"/>
    <col min="8452" max="8452" width="12.7109375" customWidth="1"/>
    <col min="8453" max="8453" width="13.28515625" bestFit="1" customWidth="1"/>
    <col min="8454" max="8454" width="14.140625" bestFit="1" customWidth="1"/>
    <col min="8455" max="8455" width="9" customWidth="1"/>
    <col min="8456" max="8456" width="3.5703125" customWidth="1"/>
    <col min="8457" max="8457" width="3" customWidth="1"/>
    <col min="8458" max="8458" width="3.7109375" customWidth="1"/>
    <col min="8459" max="8459" width="27.7109375" customWidth="1"/>
    <col min="8460" max="8460" width="9.28515625" customWidth="1"/>
    <col min="8461" max="8461" width="9.42578125" customWidth="1"/>
    <col min="8462" max="8462" width="9.85546875" customWidth="1"/>
    <col min="8463" max="8463" width="12.140625" customWidth="1"/>
    <col min="8464" max="8464" width="12.42578125" customWidth="1"/>
    <col min="8465" max="8465" width="10.140625" customWidth="1"/>
    <col min="8466" max="8466" width="10.7109375" customWidth="1"/>
    <col min="8467" max="8467" width="15" customWidth="1"/>
    <col min="8468" max="8468" width="14.85546875" customWidth="1"/>
    <col min="8469" max="8469" width="14.5703125" customWidth="1"/>
    <col min="8470" max="8470" width="12.140625" customWidth="1"/>
    <col min="8471" max="8471" width="17.85546875" customWidth="1"/>
    <col min="8472" max="8472" width="27" customWidth="1"/>
    <col min="8473" max="8473" width="12.7109375" customWidth="1"/>
    <col min="8474" max="8474" width="20" customWidth="1"/>
    <col min="8475" max="8475" width="16" bestFit="1" customWidth="1"/>
    <col min="8476" max="8476" width="13.42578125" bestFit="1" customWidth="1"/>
    <col min="8477" max="8477" width="22.42578125" customWidth="1"/>
    <col min="8705" max="8705" width="1.85546875" customWidth="1"/>
    <col min="8706" max="8706" width="6.28515625" bestFit="1" customWidth="1"/>
    <col min="8707" max="8707" width="75.7109375" bestFit="1" customWidth="1"/>
    <col min="8708" max="8708" width="12.7109375" customWidth="1"/>
    <col min="8709" max="8709" width="13.28515625" bestFit="1" customWidth="1"/>
    <col min="8710" max="8710" width="14.140625" bestFit="1" customWidth="1"/>
    <col min="8711" max="8711" width="9" customWidth="1"/>
    <col min="8712" max="8712" width="3.5703125" customWidth="1"/>
    <col min="8713" max="8713" width="3" customWidth="1"/>
    <col min="8714" max="8714" width="3.7109375" customWidth="1"/>
    <col min="8715" max="8715" width="27.7109375" customWidth="1"/>
    <col min="8716" max="8716" width="9.28515625" customWidth="1"/>
    <col min="8717" max="8717" width="9.42578125" customWidth="1"/>
    <col min="8718" max="8718" width="9.85546875" customWidth="1"/>
    <col min="8719" max="8719" width="12.140625" customWidth="1"/>
    <col min="8720" max="8720" width="12.42578125" customWidth="1"/>
    <col min="8721" max="8721" width="10.140625" customWidth="1"/>
    <col min="8722" max="8722" width="10.7109375" customWidth="1"/>
    <col min="8723" max="8723" width="15" customWidth="1"/>
    <col min="8724" max="8724" width="14.85546875" customWidth="1"/>
    <col min="8725" max="8725" width="14.5703125" customWidth="1"/>
    <col min="8726" max="8726" width="12.140625" customWidth="1"/>
    <col min="8727" max="8727" width="17.85546875" customWidth="1"/>
    <col min="8728" max="8728" width="27" customWidth="1"/>
    <col min="8729" max="8729" width="12.7109375" customWidth="1"/>
    <col min="8730" max="8730" width="20" customWidth="1"/>
    <col min="8731" max="8731" width="16" bestFit="1" customWidth="1"/>
    <col min="8732" max="8732" width="13.42578125" bestFit="1" customWidth="1"/>
    <col min="8733" max="8733" width="22.42578125" customWidth="1"/>
    <col min="8961" max="8961" width="1.85546875" customWidth="1"/>
    <col min="8962" max="8962" width="6.28515625" bestFit="1" customWidth="1"/>
    <col min="8963" max="8963" width="75.7109375" bestFit="1" customWidth="1"/>
    <col min="8964" max="8964" width="12.7109375" customWidth="1"/>
    <col min="8965" max="8965" width="13.28515625" bestFit="1" customWidth="1"/>
    <col min="8966" max="8966" width="14.140625" bestFit="1" customWidth="1"/>
    <col min="8967" max="8967" width="9" customWidth="1"/>
    <col min="8968" max="8968" width="3.5703125" customWidth="1"/>
    <col min="8969" max="8969" width="3" customWidth="1"/>
    <col min="8970" max="8970" width="3.7109375" customWidth="1"/>
    <col min="8971" max="8971" width="27.7109375" customWidth="1"/>
    <col min="8972" max="8972" width="9.28515625" customWidth="1"/>
    <col min="8973" max="8973" width="9.42578125" customWidth="1"/>
    <col min="8974" max="8974" width="9.85546875" customWidth="1"/>
    <col min="8975" max="8975" width="12.140625" customWidth="1"/>
    <col min="8976" max="8976" width="12.42578125" customWidth="1"/>
    <col min="8977" max="8977" width="10.140625" customWidth="1"/>
    <col min="8978" max="8978" width="10.7109375" customWidth="1"/>
    <col min="8979" max="8979" width="15" customWidth="1"/>
    <col min="8980" max="8980" width="14.85546875" customWidth="1"/>
    <col min="8981" max="8981" width="14.5703125" customWidth="1"/>
    <col min="8982" max="8982" width="12.140625" customWidth="1"/>
    <col min="8983" max="8983" width="17.85546875" customWidth="1"/>
    <col min="8984" max="8984" width="27" customWidth="1"/>
    <col min="8985" max="8985" width="12.7109375" customWidth="1"/>
    <col min="8986" max="8986" width="20" customWidth="1"/>
    <col min="8987" max="8987" width="16" bestFit="1" customWidth="1"/>
    <col min="8988" max="8988" width="13.42578125" bestFit="1" customWidth="1"/>
    <col min="8989" max="8989" width="22.42578125" customWidth="1"/>
    <col min="9217" max="9217" width="1.85546875" customWidth="1"/>
    <col min="9218" max="9218" width="6.28515625" bestFit="1" customWidth="1"/>
    <col min="9219" max="9219" width="75.7109375" bestFit="1" customWidth="1"/>
    <col min="9220" max="9220" width="12.7109375" customWidth="1"/>
    <col min="9221" max="9221" width="13.28515625" bestFit="1" customWidth="1"/>
    <col min="9222" max="9222" width="14.140625" bestFit="1" customWidth="1"/>
    <col min="9223" max="9223" width="9" customWidth="1"/>
    <col min="9224" max="9224" width="3.5703125" customWidth="1"/>
    <col min="9225" max="9225" width="3" customWidth="1"/>
    <col min="9226" max="9226" width="3.7109375" customWidth="1"/>
    <col min="9227" max="9227" width="27.7109375" customWidth="1"/>
    <col min="9228" max="9228" width="9.28515625" customWidth="1"/>
    <col min="9229" max="9229" width="9.42578125" customWidth="1"/>
    <col min="9230" max="9230" width="9.85546875" customWidth="1"/>
    <col min="9231" max="9231" width="12.140625" customWidth="1"/>
    <col min="9232" max="9232" width="12.42578125" customWidth="1"/>
    <col min="9233" max="9233" width="10.140625" customWidth="1"/>
    <col min="9234" max="9234" width="10.7109375" customWidth="1"/>
    <col min="9235" max="9235" width="15" customWidth="1"/>
    <col min="9236" max="9236" width="14.85546875" customWidth="1"/>
    <col min="9237" max="9237" width="14.5703125" customWidth="1"/>
    <col min="9238" max="9238" width="12.140625" customWidth="1"/>
    <col min="9239" max="9239" width="17.85546875" customWidth="1"/>
    <col min="9240" max="9240" width="27" customWidth="1"/>
    <col min="9241" max="9241" width="12.7109375" customWidth="1"/>
    <col min="9242" max="9242" width="20" customWidth="1"/>
    <col min="9243" max="9243" width="16" bestFit="1" customWidth="1"/>
    <col min="9244" max="9244" width="13.42578125" bestFit="1" customWidth="1"/>
    <col min="9245" max="9245" width="22.42578125" customWidth="1"/>
    <col min="9473" max="9473" width="1.85546875" customWidth="1"/>
    <col min="9474" max="9474" width="6.28515625" bestFit="1" customWidth="1"/>
    <col min="9475" max="9475" width="75.7109375" bestFit="1" customWidth="1"/>
    <col min="9476" max="9476" width="12.7109375" customWidth="1"/>
    <col min="9477" max="9477" width="13.28515625" bestFit="1" customWidth="1"/>
    <col min="9478" max="9478" width="14.140625" bestFit="1" customWidth="1"/>
    <col min="9479" max="9479" width="9" customWidth="1"/>
    <col min="9480" max="9480" width="3.5703125" customWidth="1"/>
    <col min="9481" max="9481" width="3" customWidth="1"/>
    <col min="9482" max="9482" width="3.7109375" customWidth="1"/>
    <col min="9483" max="9483" width="27.7109375" customWidth="1"/>
    <col min="9484" max="9484" width="9.28515625" customWidth="1"/>
    <col min="9485" max="9485" width="9.42578125" customWidth="1"/>
    <col min="9486" max="9486" width="9.85546875" customWidth="1"/>
    <col min="9487" max="9487" width="12.140625" customWidth="1"/>
    <col min="9488" max="9488" width="12.42578125" customWidth="1"/>
    <col min="9489" max="9489" width="10.140625" customWidth="1"/>
    <col min="9490" max="9490" width="10.7109375" customWidth="1"/>
    <col min="9491" max="9491" width="15" customWidth="1"/>
    <col min="9492" max="9492" width="14.85546875" customWidth="1"/>
    <col min="9493" max="9493" width="14.5703125" customWidth="1"/>
    <col min="9494" max="9494" width="12.140625" customWidth="1"/>
    <col min="9495" max="9495" width="17.85546875" customWidth="1"/>
    <col min="9496" max="9496" width="27" customWidth="1"/>
    <col min="9497" max="9497" width="12.7109375" customWidth="1"/>
    <col min="9498" max="9498" width="20" customWidth="1"/>
    <col min="9499" max="9499" width="16" bestFit="1" customWidth="1"/>
    <col min="9500" max="9500" width="13.42578125" bestFit="1" customWidth="1"/>
    <col min="9501" max="9501" width="22.42578125" customWidth="1"/>
    <col min="9729" max="9729" width="1.85546875" customWidth="1"/>
    <col min="9730" max="9730" width="6.28515625" bestFit="1" customWidth="1"/>
    <col min="9731" max="9731" width="75.7109375" bestFit="1" customWidth="1"/>
    <col min="9732" max="9732" width="12.7109375" customWidth="1"/>
    <col min="9733" max="9733" width="13.28515625" bestFit="1" customWidth="1"/>
    <col min="9734" max="9734" width="14.140625" bestFit="1" customWidth="1"/>
    <col min="9735" max="9735" width="9" customWidth="1"/>
    <col min="9736" max="9736" width="3.5703125" customWidth="1"/>
    <col min="9737" max="9737" width="3" customWidth="1"/>
    <col min="9738" max="9738" width="3.7109375" customWidth="1"/>
    <col min="9739" max="9739" width="27.7109375" customWidth="1"/>
    <col min="9740" max="9740" width="9.28515625" customWidth="1"/>
    <col min="9741" max="9741" width="9.42578125" customWidth="1"/>
    <col min="9742" max="9742" width="9.85546875" customWidth="1"/>
    <col min="9743" max="9743" width="12.140625" customWidth="1"/>
    <col min="9744" max="9744" width="12.42578125" customWidth="1"/>
    <col min="9745" max="9745" width="10.140625" customWidth="1"/>
    <col min="9746" max="9746" width="10.7109375" customWidth="1"/>
    <col min="9747" max="9747" width="15" customWidth="1"/>
    <col min="9748" max="9748" width="14.85546875" customWidth="1"/>
    <col min="9749" max="9749" width="14.5703125" customWidth="1"/>
    <col min="9750" max="9750" width="12.140625" customWidth="1"/>
    <col min="9751" max="9751" width="17.85546875" customWidth="1"/>
    <col min="9752" max="9752" width="27" customWidth="1"/>
    <col min="9753" max="9753" width="12.7109375" customWidth="1"/>
    <col min="9754" max="9754" width="20" customWidth="1"/>
    <col min="9755" max="9755" width="16" bestFit="1" customWidth="1"/>
    <col min="9756" max="9756" width="13.42578125" bestFit="1" customWidth="1"/>
    <col min="9757" max="9757" width="22.42578125" customWidth="1"/>
    <col min="9985" max="9985" width="1.85546875" customWidth="1"/>
    <col min="9986" max="9986" width="6.28515625" bestFit="1" customWidth="1"/>
    <col min="9987" max="9987" width="75.7109375" bestFit="1" customWidth="1"/>
    <col min="9988" max="9988" width="12.7109375" customWidth="1"/>
    <col min="9989" max="9989" width="13.28515625" bestFit="1" customWidth="1"/>
    <col min="9990" max="9990" width="14.140625" bestFit="1" customWidth="1"/>
    <col min="9991" max="9991" width="9" customWidth="1"/>
    <col min="9992" max="9992" width="3.5703125" customWidth="1"/>
    <col min="9993" max="9993" width="3" customWidth="1"/>
    <col min="9994" max="9994" width="3.7109375" customWidth="1"/>
    <col min="9995" max="9995" width="27.7109375" customWidth="1"/>
    <col min="9996" max="9996" width="9.28515625" customWidth="1"/>
    <col min="9997" max="9997" width="9.42578125" customWidth="1"/>
    <col min="9998" max="9998" width="9.85546875" customWidth="1"/>
    <col min="9999" max="9999" width="12.140625" customWidth="1"/>
    <col min="10000" max="10000" width="12.42578125" customWidth="1"/>
    <col min="10001" max="10001" width="10.140625" customWidth="1"/>
    <col min="10002" max="10002" width="10.7109375" customWidth="1"/>
    <col min="10003" max="10003" width="15" customWidth="1"/>
    <col min="10004" max="10004" width="14.85546875" customWidth="1"/>
    <col min="10005" max="10005" width="14.5703125" customWidth="1"/>
    <col min="10006" max="10006" width="12.140625" customWidth="1"/>
    <col min="10007" max="10007" width="17.85546875" customWidth="1"/>
    <col min="10008" max="10008" width="27" customWidth="1"/>
    <col min="10009" max="10009" width="12.7109375" customWidth="1"/>
    <col min="10010" max="10010" width="20" customWidth="1"/>
    <col min="10011" max="10011" width="16" bestFit="1" customWidth="1"/>
    <col min="10012" max="10012" width="13.42578125" bestFit="1" customWidth="1"/>
    <col min="10013" max="10013" width="22.42578125" customWidth="1"/>
    <col min="10241" max="10241" width="1.85546875" customWidth="1"/>
    <col min="10242" max="10242" width="6.28515625" bestFit="1" customWidth="1"/>
    <col min="10243" max="10243" width="75.7109375" bestFit="1" customWidth="1"/>
    <col min="10244" max="10244" width="12.7109375" customWidth="1"/>
    <col min="10245" max="10245" width="13.28515625" bestFit="1" customWidth="1"/>
    <col min="10246" max="10246" width="14.140625" bestFit="1" customWidth="1"/>
    <col min="10247" max="10247" width="9" customWidth="1"/>
    <col min="10248" max="10248" width="3.5703125" customWidth="1"/>
    <col min="10249" max="10249" width="3" customWidth="1"/>
    <col min="10250" max="10250" width="3.7109375" customWidth="1"/>
    <col min="10251" max="10251" width="27.7109375" customWidth="1"/>
    <col min="10252" max="10252" width="9.28515625" customWidth="1"/>
    <col min="10253" max="10253" width="9.42578125" customWidth="1"/>
    <col min="10254" max="10254" width="9.85546875" customWidth="1"/>
    <col min="10255" max="10255" width="12.140625" customWidth="1"/>
    <col min="10256" max="10256" width="12.42578125" customWidth="1"/>
    <col min="10257" max="10257" width="10.140625" customWidth="1"/>
    <col min="10258" max="10258" width="10.7109375" customWidth="1"/>
    <col min="10259" max="10259" width="15" customWidth="1"/>
    <col min="10260" max="10260" width="14.85546875" customWidth="1"/>
    <col min="10261" max="10261" width="14.5703125" customWidth="1"/>
    <col min="10262" max="10262" width="12.140625" customWidth="1"/>
    <col min="10263" max="10263" width="17.85546875" customWidth="1"/>
    <col min="10264" max="10264" width="27" customWidth="1"/>
    <col min="10265" max="10265" width="12.7109375" customWidth="1"/>
    <col min="10266" max="10266" width="20" customWidth="1"/>
    <col min="10267" max="10267" width="16" bestFit="1" customWidth="1"/>
    <col min="10268" max="10268" width="13.42578125" bestFit="1" customWidth="1"/>
    <col min="10269" max="10269" width="22.42578125" customWidth="1"/>
    <col min="10497" max="10497" width="1.85546875" customWidth="1"/>
    <col min="10498" max="10498" width="6.28515625" bestFit="1" customWidth="1"/>
    <col min="10499" max="10499" width="75.7109375" bestFit="1" customWidth="1"/>
    <col min="10500" max="10500" width="12.7109375" customWidth="1"/>
    <col min="10501" max="10501" width="13.28515625" bestFit="1" customWidth="1"/>
    <col min="10502" max="10502" width="14.140625" bestFit="1" customWidth="1"/>
    <col min="10503" max="10503" width="9" customWidth="1"/>
    <col min="10504" max="10504" width="3.5703125" customWidth="1"/>
    <col min="10505" max="10505" width="3" customWidth="1"/>
    <col min="10506" max="10506" width="3.7109375" customWidth="1"/>
    <col min="10507" max="10507" width="27.7109375" customWidth="1"/>
    <col min="10508" max="10508" width="9.28515625" customWidth="1"/>
    <col min="10509" max="10509" width="9.42578125" customWidth="1"/>
    <col min="10510" max="10510" width="9.85546875" customWidth="1"/>
    <col min="10511" max="10511" width="12.140625" customWidth="1"/>
    <col min="10512" max="10512" width="12.42578125" customWidth="1"/>
    <col min="10513" max="10513" width="10.140625" customWidth="1"/>
    <col min="10514" max="10514" width="10.7109375" customWidth="1"/>
    <col min="10515" max="10515" width="15" customWidth="1"/>
    <col min="10516" max="10516" width="14.85546875" customWidth="1"/>
    <col min="10517" max="10517" width="14.5703125" customWidth="1"/>
    <col min="10518" max="10518" width="12.140625" customWidth="1"/>
    <col min="10519" max="10519" width="17.85546875" customWidth="1"/>
    <col min="10520" max="10520" width="27" customWidth="1"/>
    <col min="10521" max="10521" width="12.7109375" customWidth="1"/>
    <col min="10522" max="10522" width="20" customWidth="1"/>
    <col min="10523" max="10523" width="16" bestFit="1" customWidth="1"/>
    <col min="10524" max="10524" width="13.42578125" bestFit="1" customWidth="1"/>
    <col min="10525" max="10525" width="22.42578125" customWidth="1"/>
    <col min="10753" max="10753" width="1.85546875" customWidth="1"/>
    <col min="10754" max="10754" width="6.28515625" bestFit="1" customWidth="1"/>
    <col min="10755" max="10755" width="75.7109375" bestFit="1" customWidth="1"/>
    <col min="10756" max="10756" width="12.7109375" customWidth="1"/>
    <col min="10757" max="10757" width="13.28515625" bestFit="1" customWidth="1"/>
    <col min="10758" max="10758" width="14.140625" bestFit="1" customWidth="1"/>
    <col min="10759" max="10759" width="9" customWidth="1"/>
    <col min="10760" max="10760" width="3.5703125" customWidth="1"/>
    <col min="10761" max="10761" width="3" customWidth="1"/>
    <col min="10762" max="10762" width="3.7109375" customWidth="1"/>
    <col min="10763" max="10763" width="27.7109375" customWidth="1"/>
    <col min="10764" max="10764" width="9.28515625" customWidth="1"/>
    <col min="10765" max="10765" width="9.42578125" customWidth="1"/>
    <col min="10766" max="10766" width="9.85546875" customWidth="1"/>
    <col min="10767" max="10767" width="12.140625" customWidth="1"/>
    <col min="10768" max="10768" width="12.42578125" customWidth="1"/>
    <col min="10769" max="10769" width="10.140625" customWidth="1"/>
    <col min="10770" max="10770" width="10.7109375" customWidth="1"/>
    <col min="10771" max="10771" width="15" customWidth="1"/>
    <col min="10772" max="10772" width="14.85546875" customWidth="1"/>
    <col min="10773" max="10773" width="14.5703125" customWidth="1"/>
    <col min="10774" max="10774" width="12.140625" customWidth="1"/>
    <col min="10775" max="10775" width="17.85546875" customWidth="1"/>
    <col min="10776" max="10776" width="27" customWidth="1"/>
    <col min="10777" max="10777" width="12.7109375" customWidth="1"/>
    <col min="10778" max="10778" width="20" customWidth="1"/>
    <col min="10779" max="10779" width="16" bestFit="1" customWidth="1"/>
    <col min="10780" max="10780" width="13.42578125" bestFit="1" customWidth="1"/>
    <col min="10781" max="10781" width="22.42578125" customWidth="1"/>
    <col min="11009" max="11009" width="1.85546875" customWidth="1"/>
    <col min="11010" max="11010" width="6.28515625" bestFit="1" customWidth="1"/>
    <col min="11011" max="11011" width="75.7109375" bestFit="1" customWidth="1"/>
    <col min="11012" max="11012" width="12.7109375" customWidth="1"/>
    <col min="11013" max="11013" width="13.28515625" bestFit="1" customWidth="1"/>
    <col min="11014" max="11014" width="14.140625" bestFit="1" customWidth="1"/>
    <col min="11015" max="11015" width="9" customWidth="1"/>
    <col min="11016" max="11016" width="3.5703125" customWidth="1"/>
    <col min="11017" max="11017" width="3" customWidth="1"/>
    <col min="11018" max="11018" width="3.7109375" customWidth="1"/>
    <col min="11019" max="11019" width="27.7109375" customWidth="1"/>
    <col min="11020" max="11020" width="9.28515625" customWidth="1"/>
    <col min="11021" max="11021" width="9.42578125" customWidth="1"/>
    <col min="11022" max="11022" width="9.85546875" customWidth="1"/>
    <col min="11023" max="11023" width="12.140625" customWidth="1"/>
    <col min="11024" max="11024" width="12.42578125" customWidth="1"/>
    <col min="11025" max="11025" width="10.140625" customWidth="1"/>
    <col min="11026" max="11026" width="10.7109375" customWidth="1"/>
    <col min="11027" max="11027" width="15" customWidth="1"/>
    <col min="11028" max="11028" width="14.85546875" customWidth="1"/>
    <col min="11029" max="11029" width="14.5703125" customWidth="1"/>
    <col min="11030" max="11030" width="12.140625" customWidth="1"/>
    <col min="11031" max="11031" width="17.85546875" customWidth="1"/>
    <col min="11032" max="11032" width="27" customWidth="1"/>
    <col min="11033" max="11033" width="12.7109375" customWidth="1"/>
    <col min="11034" max="11034" width="20" customWidth="1"/>
    <col min="11035" max="11035" width="16" bestFit="1" customWidth="1"/>
    <col min="11036" max="11036" width="13.42578125" bestFit="1" customWidth="1"/>
    <col min="11037" max="11037" width="22.42578125" customWidth="1"/>
    <col min="11265" max="11265" width="1.85546875" customWidth="1"/>
    <col min="11266" max="11266" width="6.28515625" bestFit="1" customWidth="1"/>
    <col min="11267" max="11267" width="75.7109375" bestFit="1" customWidth="1"/>
    <col min="11268" max="11268" width="12.7109375" customWidth="1"/>
    <col min="11269" max="11269" width="13.28515625" bestFit="1" customWidth="1"/>
    <col min="11270" max="11270" width="14.140625" bestFit="1" customWidth="1"/>
    <col min="11271" max="11271" width="9" customWidth="1"/>
    <col min="11272" max="11272" width="3.5703125" customWidth="1"/>
    <col min="11273" max="11273" width="3" customWidth="1"/>
    <col min="11274" max="11274" width="3.7109375" customWidth="1"/>
    <col min="11275" max="11275" width="27.7109375" customWidth="1"/>
    <col min="11276" max="11276" width="9.28515625" customWidth="1"/>
    <col min="11277" max="11277" width="9.42578125" customWidth="1"/>
    <col min="11278" max="11278" width="9.85546875" customWidth="1"/>
    <col min="11279" max="11279" width="12.140625" customWidth="1"/>
    <col min="11280" max="11280" width="12.42578125" customWidth="1"/>
    <col min="11281" max="11281" width="10.140625" customWidth="1"/>
    <col min="11282" max="11282" width="10.7109375" customWidth="1"/>
    <col min="11283" max="11283" width="15" customWidth="1"/>
    <col min="11284" max="11284" width="14.85546875" customWidth="1"/>
    <col min="11285" max="11285" width="14.5703125" customWidth="1"/>
    <col min="11286" max="11286" width="12.140625" customWidth="1"/>
    <col min="11287" max="11287" width="17.85546875" customWidth="1"/>
    <col min="11288" max="11288" width="27" customWidth="1"/>
    <col min="11289" max="11289" width="12.7109375" customWidth="1"/>
    <col min="11290" max="11290" width="20" customWidth="1"/>
    <col min="11291" max="11291" width="16" bestFit="1" customWidth="1"/>
    <col min="11292" max="11292" width="13.42578125" bestFit="1" customWidth="1"/>
    <col min="11293" max="11293" width="22.42578125" customWidth="1"/>
    <col min="11521" max="11521" width="1.85546875" customWidth="1"/>
    <col min="11522" max="11522" width="6.28515625" bestFit="1" customWidth="1"/>
    <col min="11523" max="11523" width="75.7109375" bestFit="1" customWidth="1"/>
    <col min="11524" max="11524" width="12.7109375" customWidth="1"/>
    <col min="11525" max="11525" width="13.28515625" bestFit="1" customWidth="1"/>
    <col min="11526" max="11526" width="14.140625" bestFit="1" customWidth="1"/>
    <col min="11527" max="11527" width="9" customWidth="1"/>
    <col min="11528" max="11528" width="3.5703125" customWidth="1"/>
    <col min="11529" max="11529" width="3" customWidth="1"/>
    <col min="11530" max="11530" width="3.7109375" customWidth="1"/>
    <col min="11531" max="11531" width="27.7109375" customWidth="1"/>
    <col min="11532" max="11532" width="9.28515625" customWidth="1"/>
    <col min="11533" max="11533" width="9.42578125" customWidth="1"/>
    <col min="11534" max="11534" width="9.85546875" customWidth="1"/>
    <col min="11535" max="11535" width="12.140625" customWidth="1"/>
    <col min="11536" max="11536" width="12.42578125" customWidth="1"/>
    <col min="11537" max="11537" width="10.140625" customWidth="1"/>
    <col min="11538" max="11538" width="10.7109375" customWidth="1"/>
    <col min="11539" max="11539" width="15" customWidth="1"/>
    <col min="11540" max="11540" width="14.85546875" customWidth="1"/>
    <col min="11541" max="11541" width="14.5703125" customWidth="1"/>
    <col min="11542" max="11542" width="12.140625" customWidth="1"/>
    <col min="11543" max="11543" width="17.85546875" customWidth="1"/>
    <col min="11544" max="11544" width="27" customWidth="1"/>
    <col min="11545" max="11545" width="12.7109375" customWidth="1"/>
    <col min="11546" max="11546" width="20" customWidth="1"/>
    <col min="11547" max="11547" width="16" bestFit="1" customWidth="1"/>
    <col min="11548" max="11548" width="13.42578125" bestFit="1" customWidth="1"/>
    <col min="11549" max="11549" width="22.42578125" customWidth="1"/>
    <col min="11777" max="11777" width="1.85546875" customWidth="1"/>
    <col min="11778" max="11778" width="6.28515625" bestFit="1" customWidth="1"/>
    <col min="11779" max="11779" width="75.7109375" bestFit="1" customWidth="1"/>
    <col min="11780" max="11780" width="12.7109375" customWidth="1"/>
    <col min="11781" max="11781" width="13.28515625" bestFit="1" customWidth="1"/>
    <col min="11782" max="11782" width="14.140625" bestFit="1" customWidth="1"/>
    <col min="11783" max="11783" width="9" customWidth="1"/>
    <col min="11784" max="11784" width="3.5703125" customWidth="1"/>
    <col min="11785" max="11785" width="3" customWidth="1"/>
    <col min="11786" max="11786" width="3.7109375" customWidth="1"/>
    <col min="11787" max="11787" width="27.7109375" customWidth="1"/>
    <col min="11788" max="11788" width="9.28515625" customWidth="1"/>
    <col min="11789" max="11789" width="9.42578125" customWidth="1"/>
    <col min="11790" max="11790" width="9.85546875" customWidth="1"/>
    <col min="11791" max="11791" width="12.140625" customWidth="1"/>
    <col min="11792" max="11792" width="12.42578125" customWidth="1"/>
    <col min="11793" max="11793" width="10.140625" customWidth="1"/>
    <col min="11794" max="11794" width="10.7109375" customWidth="1"/>
    <col min="11795" max="11795" width="15" customWidth="1"/>
    <col min="11796" max="11796" width="14.85546875" customWidth="1"/>
    <col min="11797" max="11797" width="14.5703125" customWidth="1"/>
    <col min="11798" max="11798" width="12.140625" customWidth="1"/>
    <col min="11799" max="11799" width="17.85546875" customWidth="1"/>
    <col min="11800" max="11800" width="27" customWidth="1"/>
    <col min="11801" max="11801" width="12.7109375" customWidth="1"/>
    <col min="11802" max="11802" width="20" customWidth="1"/>
    <col min="11803" max="11803" width="16" bestFit="1" customWidth="1"/>
    <col min="11804" max="11804" width="13.42578125" bestFit="1" customWidth="1"/>
    <col min="11805" max="11805" width="22.42578125" customWidth="1"/>
    <col min="12033" max="12033" width="1.85546875" customWidth="1"/>
    <col min="12034" max="12034" width="6.28515625" bestFit="1" customWidth="1"/>
    <col min="12035" max="12035" width="75.7109375" bestFit="1" customWidth="1"/>
    <col min="12036" max="12036" width="12.7109375" customWidth="1"/>
    <col min="12037" max="12037" width="13.28515625" bestFit="1" customWidth="1"/>
    <col min="12038" max="12038" width="14.140625" bestFit="1" customWidth="1"/>
    <col min="12039" max="12039" width="9" customWidth="1"/>
    <col min="12040" max="12040" width="3.5703125" customWidth="1"/>
    <col min="12041" max="12041" width="3" customWidth="1"/>
    <col min="12042" max="12042" width="3.7109375" customWidth="1"/>
    <col min="12043" max="12043" width="27.7109375" customWidth="1"/>
    <col min="12044" max="12044" width="9.28515625" customWidth="1"/>
    <col min="12045" max="12045" width="9.42578125" customWidth="1"/>
    <col min="12046" max="12046" width="9.85546875" customWidth="1"/>
    <col min="12047" max="12047" width="12.140625" customWidth="1"/>
    <col min="12048" max="12048" width="12.42578125" customWidth="1"/>
    <col min="12049" max="12049" width="10.140625" customWidth="1"/>
    <col min="12050" max="12050" width="10.7109375" customWidth="1"/>
    <col min="12051" max="12051" width="15" customWidth="1"/>
    <col min="12052" max="12052" width="14.85546875" customWidth="1"/>
    <col min="12053" max="12053" width="14.5703125" customWidth="1"/>
    <col min="12054" max="12054" width="12.140625" customWidth="1"/>
    <col min="12055" max="12055" width="17.85546875" customWidth="1"/>
    <col min="12056" max="12056" width="27" customWidth="1"/>
    <col min="12057" max="12057" width="12.7109375" customWidth="1"/>
    <col min="12058" max="12058" width="20" customWidth="1"/>
    <col min="12059" max="12059" width="16" bestFit="1" customWidth="1"/>
    <col min="12060" max="12060" width="13.42578125" bestFit="1" customWidth="1"/>
    <col min="12061" max="12061" width="22.42578125" customWidth="1"/>
    <col min="12289" max="12289" width="1.85546875" customWidth="1"/>
    <col min="12290" max="12290" width="6.28515625" bestFit="1" customWidth="1"/>
    <col min="12291" max="12291" width="75.7109375" bestFit="1" customWidth="1"/>
    <col min="12292" max="12292" width="12.7109375" customWidth="1"/>
    <col min="12293" max="12293" width="13.28515625" bestFit="1" customWidth="1"/>
    <col min="12294" max="12294" width="14.140625" bestFit="1" customWidth="1"/>
    <col min="12295" max="12295" width="9" customWidth="1"/>
    <col min="12296" max="12296" width="3.5703125" customWidth="1"/>
    <col min="12297" max="12297" width="3" customWidth="1"/>
    <col min="12298" max="12298" width="3.7109375" customWidth="1"/>
    <col min="12299" max="12299" width="27.7109375" customWidth="1"/>
    <col min="12300" max="12300" width="9.28515625" customWidth="1"/>
    <col min="12301" max="12301" width="9.42578125" customWidth="1"/>
    <col min="12302" max="12302" width="9.85546875" customWidth="1"/>
    <col min="12303" max="12303" width="12.140625" customWidth="1"/>
    <col min="12304" max="12304" width="12.42578125" customWidth="1"/>
    <col min="12305" max="12305" width="10.140625" customWidth="1"/>
    <col min="12306" max="12306" width="10.7109375" customWidth="1"/>
    <col min="12307" max="12307" width="15" customWidth="1"/>
    <col min="12308" max="12308" width="14.85546875" customWidth="1"/>
    <col min="12309" max="12309" width="14.5703125" customWidth="1"/>
    <col min="12310" max="12310" width="12.140625" customWidth="1"/>
    <col min="12311" max="12311" width="17.85546875" customWidth="1"/>
    <col min="12312" max="12312" width="27" customWidth="1"/>
    <col min="12313" max="12313" width="12.7109375" customWidth="1"/>
    <col min="12314" max="12314" width="20" customWidth="1"/>
    <col min="12315" max="12315" width="16" bestFit="1" customWidth="1"/>
    <col min="12316" max="12316" width="13.42578125" bestFit="1" customWidth="1"/>
    <col min="12317" max="12317" width="22.42578125" customWidth="1"/>
    <col min="12545" max="12545" width="1.85546875" customWidth="1"/>
    <col min="12546" max="12546" width="6.28515625" bestFit="1" customWidth="1"/>
    <col min="12547" max="12547" width="75.7109375" bestFit="1" customWidth="1"/>
    <col min="12548" max="12548" width="12.7109375" customWidth="1"/>
    <col min="12549" max="12549" width="13.28515625" bestFit="1" customWidth="1"/>
    <col min="12550" max="12550" width="14.140625" bestFit="1" customWidth="1"/>
    <col min="12551" max="12551" width="9" customWidth="1"/>
    <col min="12552" max="12552" width="3.5703125" customWidth="1"/>
    <col min="12553" max="12553" width="3" customWidth="1"/>
    <col min="12554" max="12554" width="3.7109375" customWidth="1"/>
    <col min="12555" max="12555" width="27.7109375" customWidth="1"/>
    <col min="12556" max="12556" width="9.28515625" customWidth="1"/>
    <col min="12557" max="12557" width="9.42578125" customWidth="1"/>
    <col min="12558" max="12558" width="9.85546875" customWidth="1"/>
    <col min="12559" max="12559" width="12.140625" customWidth="1"/>
    <col min="12560" max="12560" width="12.42578125" customWidth="1"/>
    <col min="12561" max="12561" width="10.140625" customWidth="1"/>
    <col min="12562" max="12562" width="10.7109375" customWidth="1"/>
    <col min="12563" max="12563" width="15" customWidth="1"/>
    <col min="12564" max="12564" width="14.85546875" customWidth="1"/>
    <col min="12565" max="12565" width="14.5703125" customWidth="1"/>
    <col min="12566" max="12566" width="12.140625" customWidth="1"/>
    <col min="12567" max="12567" width="17.85546875" customWidth="1"/>
    <col min="12568" max="12568" width="27" customWidth="1"/>
    <col min="12569" max="12569" width="12.7109375" customWidth="1"/>
    <col min="12570" max="12570" width="20" customWidth="1"/>
    <col min="12571" max="12571" width="16" bestFit="1" customWidth="1"/>
    <col min="12572" max="12572" width="13.42578125" bestFit="1" customWidth="1"/>
    <col min="12573" max="12573" width="22.42578125" customWidth="1"/>
    <col min="12801" max="12801" width="1.85546875" customWidth="1"/>
    <col min="12802" max="12802" width="6.28515625" bestFit="1" customWidth="1"/>
    <col min="12803" max="12803" width="75.7109375" bestFit="1" customWidth="1"/>
    <col min="12804" max="12804" width="12.7109375" customWidth="1"/>
    <col min="12805" max="12805" width="13.28515625" bestFit="1" customWidth="1"/>
    <col min="12806" max="12806" width="14.140625" bestFit="1" customWidth="1"/>
    <col min="12807" max="12807" width="9" customWidth="1"/>
    <col min="12808" max="12808" width="3.5703125" customWidth="1"/>
    <col min="12809" max="12809" width="3" customWidth="1"/>
    <col min="12810" max="12810" width="3.7109375" customWidth="1"/>
    <col min="12811" max="12811" width="27.7109375" customWidth="1"/>
    <col min="12812" max="12812" width="9.28515625" customWidth="1"/>
    <col min="12813" max="12813" width="9.42578125" customWidth="1"/>
    <col min="12814" max="12814" width="9.85546875" customWidth="1"/>
    <col min="12815" max="12815" width="12.140625" customWidth="1"/>
    <col min="12816" max="12816" width="12.42578125" customWidth="1"/>
    <col min="12817" max="12817" width="10.140625" customWidth="1"/>
    <col min="12818" max="12818" width="10.7109375" customWidth="1"/>
    <col min="12819" max="12819" width="15" customWidth="1"/>
    <col min="12820" max="12820" width="14.85546875" customWidth="1"/>
    <col min="12821" max="12821" width="14.5703125" customWidth="1"/>
    <col min="12822" max="12822" width="12.140625" customWidth="1"/>
    <col min="12823" max="12823" width="17.85546875" customWidth="1"/>
    <col min="12824" max="12824" width="27" customWidth="1"/>
    <col min="12825" max="12825" width="12.7109375" customWidth="1"/>
    <col min="12826" max="12826" width="20" customWidth="1"/>
    <col min="12827" max="12827" width="16" bestFit="1" customWidth="1"/>
    <col min="12828" max="12828" width="13.42578125" bestFit="1" customWidth="1"/>
    <col min="12829" max="12829" width="22.42578125" customWidth="1"/>
    <col min="13057" max="13057" width="1.85546875" customWidth="1"/>
    <col min="13058" max="13058" width="6.28515625" bestFit="1" customWidth="1"/>
    <col min="13059" max="13059" width="75.7109375" bestFit="1" customWidth="1"/>
    <col min="13060" max="13060" width="12.7109375" customWidth="1"/>
    <col min="13061" max="13061" width="13.28515625" bestFit="1" customWidth="1"/>
    <col min="13062" max="13062" width="14.140625" bestFit="1" customWidth="1"/>
    <col min="13063" max="13063" width="9" customWidth="1"/>
    <col min="13064" max="13064" width="3.5703125" customWidth="1"/>
    <col min="13065" max="13065" width="3" customWidth="1"/>
    <col min="13066" max="13066" width="3.7109375" customWidth="1"/>
    <col min="13067" max="13067" width="27.7109375" customWidth="1"/>
    <col min="13068" max="13068" width="9.28515625" customWidth="1"/>
    <col min="13069" max="13069" width="9.42578125" customWidth="1"/>
    <col min="13070" max="13070" width="9.85546875" customWidth="1"/>
    <col min="13071" max="13071" width="12.140625" customWidth="1"/>
    <col min="13072" max="13072" width="12.42578125" customWidth="1"/>
    <col min="13073" max="13073" width="10.140625" customWidth="1"/>
    <col min="13074" max="13074" width="10.7109375" customWidth="1"/>
    <col min="13075" max="13075" width="15" customWidth="1"/>
    <col min="13076" max="13076" width="14.85546875" customWidth="1"/>
    <col min="13077" max="13077" width="14.5703125" customWidth="1"/>
    <col min="13078" max="13078" width="12.140625" customWidth="1"/>
    <col min="13079" max="13079" width="17.85546875" customWidth="1"/>
    <col min="13080" max="13080" width="27" customWidth="1"/>
    <col min="13081" max="13081" width="12.7109375" customWidth="1"/>
    <col min="13082" max="13082" width="20" customWidth="1"/>
    <col min="13083" max="13083" width="16" bestFit="1" customWidth="1"/>
    <col min="13084" max="13084" width="13.42578125" bestFit="1" customWidth="1"/>
    <col min="13085" max="13085" width="22.42578125" customWidth="1"/>
    <col min="13313" max="13313" width="1.85546875" customWidth="1"/>
    <col min="13314" max="13314" width="6.28515625" bestFit="1" customWidth="1"/>
    <col min="13315" max="13315" width="75.7109375" bestFit="1" customWidth="1"/>
    <col min="13316" max="13316" width="12.7109375" customWidth="1"/>
    <col min="13317" max="13317" width="13.28515625" bestFit="1" customWidth="1"/>
    <col min="13318" max="13318" width="14.140625" bestFit="1" customWidth="1"/>
    <col min="13319" max="13319" width="9" customWidth="1"/>
    <col min="13320" max="13320" width="3.5703125" customWidth="1"/>
    <col min="13321" max="13321" width="3" customWidth="1"/>
    <col min="13322" max="13322" width="3.7109375" customWidth="1"/>
    <col min="13323" max="13323" width="27.7109375" customWidth="1"/>
    <col min="13324" max="13324" width="9.28515625" customWidth="1"/>
    <col min="13325" max="13325" width="9.42578125" customWidth="1"/>
    <col min="13326" max="13326" width="9.85546875" customWidth="1"/>
    <col min="13327" max="13327" width="12.140625" customWidth="1"/>
    <col min="13328" max="13328" width="12.42578125" customWidth="1"/>
    <col min="13329" max="13329" width="10.140625" customWidth="1"/>
    <col min="13330" max="13330" width="10.7109375" customWidth="1"/>
    <col min="13331" max="13331" width="15" customWidth="1"/>
    <col min="13332" max="13332" width="14.85546875" customWidth="1"/>
    <col min="13333" max="13333" width="14.5703125" customWidth="1"/>
    <col min="13334" max="13334" width="12.140625" customWidth="1"/>
    <col min="13335" max="13335" width="17.85546875" customWidth="1"/>
    <col min="13336" max="13336" width="27" customWidth="1"/>
    <col min="13337" max="13337" width="12.7109375" customWidth="1"/>
    <col min="13338" max="13338" width="20" customWidth="1"/>
    <col min="13339" max="13339" width="16" bestFit="1" customWidth="1"/>
    <col min="13340" max="13340" width="13.42578125" bestFit="1" customWidth="1"/>
    <col min="13341" max="13341" width="22.42578125" customWidth="1"/>
    <col min="13569" max="13569" width="1.85546875" customWidth="1"/>
    <col min="13570" max="13570" width="6.28515625" bestFit="1" customWidth="1"/>
    <col min="13571" max="13571" width="75.7109375" bestFit="1" customWidth="1"/>
    <col min="13572" max="13572" width="12.7109375" customWidth="1"/>
    <col min="13573" max="13573" width="13.28515625" bestFit="1" customWidth="1"/>
    <col min="13574" max="13574" width="14.140625" bestFit="1" customWidth="1"/>
    <col min="13575" max="13575" width="9" customWidth="1"/>
    <col min="13576" max="13576" width="3.5703125" customWidth="1"/>
    <col min="13577" max="13577" width="3" customWidth="1"/>
    <col min="13578" max="13578" width="3.7109375" customWidth="1"/>
    <col min="13579" max="13579" width="27.7109375" customWidth="1"/>
    <col min="13580" max="13580" width="9.28515625" customWidth="1"/>
    <col min="13581" max="13581" width="9.42578125" customWidth="1"/>
    <col min="13582" max="13582" width="9.85546875" customWidth="1"/>
    <col min="13583" max="13583" width="12.140625" customWidth="1"/>
    <col min="13584" max="13584" width="12.42578125" customWidth="1"/>
    <col min="13585" max="13585" width="10.140625" customWidth="1"/>
    <col min="13586" max="13586" width="10.7109375" customWidth="1"/>
    <col min="13587" max="13587" width="15" customWidth="1"/>
    <col min="13588" max="13588" width="14.85546875" customWidth="1"/>
    <col min="13589" max="13589" width="14.5703125" customWidth="1"/>
    <col min="13590" max="13590" width="12.140625" customWidth="1"/>
    <col min="13591" max="13591" width="17.85546875" customWidth="1"/>
    <col min="13592" max="13592" width="27" customWidth="1"/>
    <col min="13593" max="13593" width="12.7109375" customWidth="1"/>
    <col min="13594" max="13594" width="20" customWidth="1"/>
    <col min="13595" max="13595" width="16" bestFit="1" customWidth="1"/>
    <col min="13596" max="13596" width="13.42578125" bestFit="1" customWidth="1"/>
    <col min="13597" max="13597" width="22.42578125" customWidth="1"/>
    <col min="13825" max="13825" width="1.85546875" customWidth="1"/>
    <col min="13826" max="13826" width="6.28515625" bestFit="1" customWidth="1"/>
    <col min="13827" max="13827" width="75.7109375" bestFit="1" customWidth="1"/>
    <col min="13828" max="13828" width="12.7109375" customWidth="1"/>
    <col min="13829" max="13829" width="13.28515625" bestFit="1" customWidth="1"/>
    <col min="13830" max="13830" width="14.140625" bestFit="1" customWidth="1"/>
    <col min="13831" max="13831" width="9" customWidth="1"/>
    <col min="13832" max="13832" width="3.5703125" customWidth="1"/>
    <col min="13833" max="13833" width="3" customWidth="1"/>
    <col min="13834" max="13834" width="3.7109375" customWidth="1"/>
    <col min="13835" max="13835" width="27.7109375" customWidth="1"/>
    <col min="13836" max="13836" width="9.28515625" customWidth="1"/>
    <col min="13837" max="13837" width="9.42578125" customWidth="1"/>
    <col min="13838" max="13838" width="9.85546875" customWidth="1"/>
    <col min="13839" max="13839" width="12.140625" customWidth="1"/>
    <col min="13840" max="13840" width="12.42578125" customWidth="1"/>
    <col min="13841" max="13841" width="10.140625" customWidth="1"/>
    <col min="13842" max="13842" width="10.7109375" customWidth="1"/>
    <col min="13843" max="13843" width="15" customWidth="1"/>
    <col min="13844" max="13844" width="14.85546875" customWidth="1"/>
    <col min="13845" max="13845" width="14.5703125" customWidth="1"/>
    <col min="13846" max="13846" width="12.140625" customWidth="1"/>
    <col min="13847" max="13847" width="17.85546875" customWidth="1"/>
    <col min="13848" max="13848" width="27" customWidth="1"/>
    <col min="13849" max="13849" width="12.7109375" customWidth="1"/>
    <col min="13850" max="13850" width="20" customWidth="1"/>
    <col min="13851" max="13851" width="16" bestFit="1" customWidth="1"/>
    <col min="13852" max="13852" width="13.42578125" bestFit="1" customWidth="1"/>
    <col min="13853" max="13853" width="22.42578125" customWidth="1"/>
    <col min="14081" max="14081" width="1.85546875" customWidth="1"/>
    <col min="14082" max="14082" width="6.28515625" bestFit="1" customWidth="1"/>
    <col min="14083" max="14083" width="75.7109375" bestFit="1" customWidth="1"/>
    <col min="14084" max="14084" width="12.7109375" customWidth="1"/>
    <col min="14085" max="14085" width="13.28515625" bestFit="1" customWidth="1"/>
    <col min="14086" max="14086" width="14.140625" bestFit="1" customWidth="1"/>
    <col min="14087" max="14087" width="9" customWidth="1"/>
    <col min="14088" max="14088" width="3.5703125" customWidth="1"/>
    <col min="14089" max="14089" width="3" customWidth="1"/>
    <col min="14090" max="14090" width="3.7109375" customWidth="1"/>
    <col min="14091" max="14091" width="27.7109375" customWidth="1"/>
    <col min="14092" max="14092" width="9.28515625" customWidth="1"/>
    <col min="14093" max="14093" width="9.42578125" customWidth="1"/>
    <col min="14094" max="14094" width="9.85546875" customWidth="1"/>
    <col min="14095" max="14095" width="12.140625" customWidth="1"/>
    <col min="14096" max="14096" width="12.42578125" customWidth="1"/>
    <col min="14097" max="14097" width="10.140625" customWidth="1"/>
    <col min="14098" max="14098" width="10.7109375" customWidth="1"/>
    <col min="14099" max="14099" width="15" customWidth="1"/>
    <col min="14100" max="14100" width="14.85546875" customWidth="1"/>
    <col min="14101" max="14101" width="14.5703125" customWidth="1"/>
    <col min="14102" max="14102" width="12.140625" customWidth="1"/>
    <col min="14103" max="14103" width="17.85546875" customWidth="1"/>
    <col min="14104" max="14104" width="27" customWidth="1"/>
    <col min="14105" max="14105" width="12.7109375" customWidth="1"/>
    <col min="14106" max="14106" width="20" customWidth="1"/>
    <col min="14107" max="14107" width="16" bestFit="1" customWidth="1"/>
    <col min="14108" max="14108" width="13.42578125" bestFit="1" customWidth="1"/>
    <col min="14109" max="14109" width="22.42578125" customWidth="1"/>
    <col min="14337" max="14337" width="1.85546875" customWidth="1"/>
    <col min="14338" max="14338" width="6.28515625" bestFit="1" customWidth="1"/>
    <col min="14339" max="14339" width="75.7109375" bestFit="1" customWidth="1"/>
    <col min="14340" max="14340" width="12.7109375" customWidth="1"/>
    <col min="14341" max="14341" width="13.28515625" bestFit="1" customWidth="1"/>
    <col min="14342" max="14342" width="14.140625" bestFit="1" customWidth="1"/>
    <col min="14343" max="14343" width="9" customWidth="1"/>
    <col min="14344" max="14344" width="3.5703125" customWidth="1"/>
    <col min="14345" max="14345" width="3" customWidth="1"/>
    <col min="14346" max="14346" width="3.7109375" customWidth="1"/>
    <col min="14347" max="14347" width="27.7109375" customWidth="1"/>
    <col min="14348" max="14348" width="9.28515625" customWidth="1"/>
    <col min="14349" max="14349" width="9.42578125" customWidth="1"/>
    <col min="14350" max="14350" width="9.85546875" customWidth="1"/>
    <col min="14351" max="14351" width="12.140625" customWidth="1"/>
    <col min="14352" max="14352" width="12.42578125" customWidth="1"/>
    <col min="14353" max="14353" width="10.140625" customWidth="1"/>
    <col min="14354" max="14354" width="10.7109375" customWidth="1"/>
    <col min="14355" max="14355" width="15" customWidth="1"/>
    <col min="14356" max="14356" width="14.85546875" customWidth="1"/>
    <col min="14357" max="14357" width="14.5703125" customWidth="1"/>
    <col min="14358" max="14358" width="12.140625" customWidth="1"/>
    <col min="14359" max="14359" width="17.85546875" customWidth="1"/>
    <col min="14360" max="14360" width="27" customWidth="1"/>
    <col min="14361" max="14361" width="12.7109375" customWidth="1"/>
    <col min="14362" max="14362" width="20" customWidth="1"/>
    <col min="14363" max="14363" width="16" bestFit="1" customWidth="1"/>
    <col min="14364" max="14364" width="13.42578125" bestFit="1" customWidth="1"/>
    <col min="14365" max="14365" width="22.42578125" customWidth="1"/>
    <col min="14593" max="14593" width="1.85546875" customWidth="1"/>
    <col min="14594" max="14594" width="6.28515625" bestFit="1" customWidth="1"/>
    <col min="14595" max="14595" width="75.7109375" bestFit="1" customWidth="1"/>
    <col min="14596" max="14596" width="12.7109375" customWidth="1"/>
    <col min="14597" max="14597" width="13.28515625" bestFit="1" customWidth="1"/>
    <col min="14598" max="14598" width="14.140625" bestFit="1" customWidth="1"/>
    <col min="14599" max="14599" width="9" customWidth="1"/>
    <col min="14600" max="14600" width="3.5703125" customWidth="1"/>
    <col min="14601" max="14601" width="3" customWidth="1"/>
    <col min="14602" max="14602" width="3.7109375" customWidth="1"/>
    <col min="14603" max="14603" width="27.7109375" customWidth="1"/>
    <col min="14604" max="14604" width="9.28515625" customWidth="1"/>
    <col min="14605" max="14605" width="9.42578125" customWidth="1"/>
    <col min="14606" max="14606" width="9.85546875" customWidth="1"/>
    <col min="14607" max="14607" width="12.140625" customWidth="1"/>
    <col min="14608" max="14608" width="12.42578125" customWidth="1"/>
    <col min="14609" max="14609" width="10.140625" customWidth="1"/>
    <col min="14610" max="14610" width="10.7109375" customWidth="1"/>
    <col min="14611" max="14611" width="15" customWidth="1"/>
    <col min="14612" max="14612" width="14.85546875" customWidth="1"/>
    <col min="14613" max="14613" width="14.5703125" customWidth="1"/>
    <col min="14614" max="14614" width="12.140625" customWidth="1"/>
    <col min="14615" max="14615" width="17.85546875" customWidth="1"/>
    <col min="14616" max="14616" width="27" customWidth="1"/>
    <col min="14617" max="14617" width="12.7109375" customWidth="1"/>
    <col min="14618" max="14618" width="20" customWidth="1"/>
    <col min="14619" max="14619" width="16" bestFit="1" customWidth="1"/>
    <col min="14620" max="14620" width="13.42578125" bestFit="1" customWidth="1"/>
    <col min="14621" max="14621" width="22.42578125" customWidth="1"/>
    <col min="14849" max="14849" width="1.85546875" customWidth="1"/>
    <col min="14850" max="14850" width="6.28515625" bestFit="1" customWidth="1"/>
    <col min="14851" max="14851" width="75.7109375" bestFit="1" customWidth="1"/>
    <col min="14852" max="14852" width="12.7109375" customWidth="1"/>
    <col min="14853" max="14853" width="13.28515625" bestFit="1" customWidth="1"/>
    <col min="14854" max="14854" width="14.140625" bestFit="1" customWidth="1"/>
    <col min="14855" max="14855" width="9" customWidth="1"/>
    <col min="14856" max="14856" width="3.5703125" customWidth="1"/>
    <col min="14857" max="14857" width="3" customWidth="1"/>
    <col min="14858" max="14858" width="3.7109375" customWidth="1"/>
    <col min="14859" max="14859" width="27.7109375" customWidth="1"/>
    <col min="14860" max="14860" width="9.28515625" customWidth="1"/>
    <col min="14861" max="14861" width="9.42578125" customWidth="1"/>
    <col min="14862" max="14862" width="9.85546875" customWidth="1"/>
    <col min="14863" max="14863" width="12.140625" customWidth="1"/>
    <col min="14864" max="14864" width="12.42578125" customWidth="1"/>
    <col min="14865" max="14865" width="10.140625" customWidth="1"/>
    <col min="14866" max="14866" width="10.7109375" customWidth="1"/>
    <col min="14867" max="14867" width="15" customWidth="1"/>
    <col min="14868" max="14868" width="14.85546875" customWidth="1"/>
    <col min="14869" max="14869" width="14.5703125" customWidth="1"/>
    <col min="14870" max="14870" width="12.140625" customWidth="1"/>
    <col min="14871" max="14871" width="17.85546875" customWidth="1"/>
    <col min="14872" max="14872" width="27" customWidth="1"/>
    <col min="14873" max="14873" width="12.7109375" customWidth="1"/>
    <col min="14874" max="14874" width="20" customWidth="1"/>
    <col min="14875" max="14875" width="16" bestFit="1" customWidth="1"/>
    <col min="14876" max="14876" width="13.42578125" bestFit="1" customWidth="1"/>
    <col min="14877" max="14877" width="22.42578125" customWidth="1"/>
    <col min="15105" max="15105" width="1.85546875" customWidth="1"/>
    <col min="15106" max="15106" width="6.28515625" bestFit="1" customWidth="1"/>
    <col min="15107" max="15107" width="75.7109375" bestFit="1" customWidth="1"/>
    <col min="15108" max="15108" width="12.7109375" customWidth="1"/>
    <col min="15109" max="15109" width="13.28515625" bestFit="1" customWidth="1"/>
    <col min="15110" max="15110" width="14.140625" bestFit="1" customWidth="1"/>
    <col min="15111" max="15111" width="9" customWidth="1"/>
    <col min="15112" max="15112" width="3.5703125" customWidth="1"/>
    <col min="15113" max="15113" width="3" customWidth="1"/>
    <col min="15114" max="15114" width="3.7109375" customWidth="1"/>
    <col min="15115" max="15115" width="27.7109375" customWidth="1"/>
    <col min="15116" max="15116" width="9.28515625" customWidth="1"/>
    <col min="15117" max="15117" width="9.42578125" customWidth="1"/>
    <col min="15118" max="15118" width="9.85546875" customWidth="1"/>
    <col min="15119" max="15119" width="12.140625" customWidth="1"/>
    <col min="15120" max="15120" width="12.42578125" customWidth="1"/>
    <col min="15121" max="15121" width="10.140625" customWidth="1"/>
    <col min="15122" max="15122" width="10.7109375" customWidth="1"/>
    <col min="15123" max="15123" width="15" customWidth="1"/>
    <col min="15124" max="15124" width="14.85546875" customWidth="1"/>
    <col min="15125" max="15125" width="14.5703125" customWidth="1"/>
    <col min="15126" max="15126" width="12.140625" customWidth="1"/>
    <col min="15127" max="15127" width="17.85546875" customWidth="1"/>
    <col min="15128" max="15128" width="27" customWidth="1"/>
    <col min="15129" max="15129" width="12.7109375" customWidth="1"/>
    <col min="15130" max="15130" width="20" customWidth="1"/>
    <col min="15131" max="15131" width="16" bestFit="1" customWidth="1"/>
    <col min="15132" max="15132" width="13.42578125" bestFit="1" customWidth="1"/>
    <col min="15133" max="15133" width="22.42578125" customWidth="1"/>
    <col min="15361" max="15361" width="1.85546875" customWidth="1"/>
    <col min="15362" max="15362" width="6.28515625" bestFit="1" customWidth="1"/>
    <col min="15363" max="15363" width="75.7109375" bestFit="1" customWidth="1"/>
    <col min="15364" max="15364" width="12.7109375" customWidth="1"/>
    <col min="15365" max="15365" width="13.28515625" bestFit="1" customWidth="1"/>
    <col min="15366" max="15366" width="14.140625" bestFit="1" customWidth="1"/>
    <col min="15367" max="15367" width="9" customWidth="1"/>
    <col min="15368" max="15368" width="3.5703125" customWidth="1"/>
    <col min="15369" max="15369" width="3" customWidth="1"/>
    <col min="15370" max="15370" width="3.7109375" customWidth="1"/>
    <col min="15371" max="15371" width="27.7109375" customWidth="1"/>
    <col min="15372" max="15372" width="9.28515625" customWidth="1"/>
    <col min="15373" max="15373" width="9.42578125" customWidth="1"/>
    <col min="15374" max="15374" width="9.85546875" customWidth="1"/>
    <col min="15375" max="15375" width="12.140625" customWidth="1"/>
    <col min="15376" max="15376" width="12.42578125" customWidth="1"/>
    <col min="15377" max="15377" width="10.140625" customWidth="1"/>
    <col min="15378" max="15378" width="10.7109375" customWidth="1"/>
    <col min="15379" max="15379" width="15" customWidth="1"/>
    <col min="15380" max="15380" width="14.85546875" customWidth="1"/>
    <col min="15381" max="15381" width="14.5703125" customWidth="1"/>
    <col min="15382" max="15382" width="12.140625" customWidth="1"/>
    <col min="15383" max="15383" width="17.85546875" customWidth="1"/>
    <col min="15384" max="15384" width="27" customWidth="1"/>
    <col min="15385" max="15385" width="12.7109375" customWidth="1"/>
    <col min="15386" max="15386" width="20" customWidth="1"/>
    <col min="15387" max="15387" width="16" bestFit="1" customWidth="1"/>
    <col min="15388" max="15388" width="13.42578125" bestFit="1" customWidth="1"/>
    <col min="15389" max="15389" width="22.42578125" customWidth="1"/>
    <col min="15617" max="15617" width="1.85546875" customWidth="1"/>
    <col min="15618" max="15618" width="6.28515625" bestFit="1" customWidth="1"/>
    <col min="15619" max="15619" width="75.7109375" bestFit="1" customWidth="1"/>
    <col min="15620" max="15620" width="12.7109375" customWidth="1"/>
    <col min="15621" max="15621" width="13.28515625" bestFit="1" customWidth="1"/>
    <col min="15622" max="15622" width="14.140625" bestFit="1" customWidth="1"/>
    <col min="15623" max="15623" width="9" customWidth="1"/>
    <col min="15624" max="15624" width="3.5703125" customWidth="1"/>
    <col min="15625" max="15625" width="3" customWidth="1"/>
    <col min="15626" max="15626" width="3.7109375" customWidth="1"/>
    <col min="15627" max="15627" width="27.7109375" customWidth="1"/>
    <col min="15628" max="15628" width="9.28515625" customWidth="1"/>
    <col min="15629" max="15629" width="9.42578125" customWidth="1"/>
    <col min="15630" max="15630" width="9.85546875" customWidth="1"/>
    <col min="15631" max="15631" width="12.140625" customWidth="1"/>
    <col min="15632" max="15632" width="12.42578125" customWidth="1"/>
    <col min="15633" max="15633" width="10.140625" customWidth="1"/>
    <col min="15634" max="15634" width="10.7109375" customWidth="1"/>
    <col min="15635" max="15635" width="15" customWidth="1"/>
    <col min="15636" max="15636" width="14.85546875" customWidth="1"/>
    <col min="15637" max="15637" width="14.5703125" customWidth="1"/>
    <col min="15638" max="15638" width="12.140625" customWidth="1"/>
    <col min="15639" max="15639" width="17.85546875" customWidth="1"/>
    <col min="15640" max="15640" width="27" customWidth="1"/>
    <col min="15641" max="15641" width="12.7109375" customWidth="1"/>
    <col min="15642" max="15642" width="20" customWidth="1"/>
    <col min="15643" max="15643" width="16" bestFit="1" customWidth="1"/>
    <col min="15644" max="15644" width="13.42578125" bestFit="1" customWidth="1"/>
    <col min="15645" max="15645" width="22.42578125" customWidth="1"/>
    <col min="15873" max="15873" width="1.85546875" customWidth="1"/>
    <col min="15874" max="15874" width="6.28515625" bestFit="1" customWidth="1"/>
    <col min="15875" max="15875" width="75.7109375" bestFit="1" customWidth="1"/>
    <col min="15876" max="15876" width="12.7109375" customWidth="1"/>
    <col min="15877" max="15877" width="13.28515625" bestFit="1" customWidth="1"/>
    <col min="15878" max="15878" width="14.140625" bestFit="1" customWidth="1"/>
    <col min="15879" max="15879" width="9" customWidth="1"/>
    <col min="15880" max="15880" width="3.5703125" customWidth="1"/>
    <col min="15881" max="15881" width="3" customWidth="1"/>
    <col min="15882" max="15882" width="3.7109375" customWidth="1"/>
    <col min="15883" max="15883" width="27.7109375" customWidth="1"/>
    <col min="15884" max="15884" width="9.28515625" customWidth="1"/>
    <col min="15885" max="15885" width="9.42578125" customWidth="1"/>
    <col min="15886" max="15886" width="9.85546875" customWidth="1"/>
    <col min="15887" max="15887" width="12.140625" customWidth="1"/>
    <col min="15888" max="15888" width="12.42578125" customWidth="1"/>
    <col min="15889" max="15889" width="10.140625" customWidth="1"/>
    <col min="15890" max="15890" width="10.7109375" customWidth="1"/>
    <col min="15891" max="15891" width="15" customWidth="1"/>
    <col min="15892" max="15892" width="14.85546875" customWidth="1"/>
    <col min="15893" max="15893" width="14.5703125" customWidth="1"/>
    <col min="15894" max="15894" width="12.140625" customWidth="1"/>
    <col min="15895" max="15895" width="17.85546875" customWidth="1"/>
    <col min="15896" max="15896" width="27" customWidth="1"/>
    <col min="15897" max="15897" width="12.7109375" customWidth="1"/>
    <col min="15898" max="15898" width="20" customWidth="1"/>
    <col min="15899" max="15899" width="16" bestFit="1" customWidth="1"/>
    <col min="15900" max="15900" width="13.42578125" bestFit="1" customWidth="1"/>
    <col min="15901" max="15901" width="22.42578125" customWidth="1"/>
    <col min="16129" max="16129" width="1.85546875" customWidth="1"/>
    <col min="16130" max="16130" width="6.28515625" bestFit="1" customWidth="1"/>
    <col min="16131" max="16131" width="75.7109375" bestFit="1" customWidth="1"/>
    <col min="16132" max="16132" width="12.7109375" customWidth="1"/>
    <col min="16133" max="16133" width="13.28515625" bestFit="1" customWidth="1"/>
    <col min="16134" max="16134" width="14.140625" bestFit="1" customWidth="1"/>
    <col min="16135" max="16135" width="9" customWidth="1"/>
    <col min="16136" max="16136" width="3.5703125" customWidth="1"/>
    <col min="16137" max="16137" width="3" customWidth="1"/>
    <col min="16138" max="16138" width="3.7109375" customWidth="1"/>
    <col min="16139" max="16139" width="27.7109375" customWidth="1"/>
    <col min="16140" max="16140" width="9.28515625" customWidth="1"/>
    <col min="16141" max="16141" width="9.42578125" customWidth="1"/>
    <col min="16142" max="16142" width="9.85546875" customWidth="1"/>
    <col min="16143" max="16143" width="12.140625" customWidth="1"/>
    <col min="16144" max="16144" width="12.42578125" customWidth="1"/>
    <col min="16145" max="16145" width="10.140625" customWidth="1"/>
    <col min="16146" max="16146" width="10.7109375" customWidth="1"/>
    <col min="16147" max="16147" width="15" customWidth="1"/>
    <col min="16148" max="16148" width="14.85546875" customWidth="1"/>
    <col min="16149" max="16149" width="14.5703125" customWidth="1"/>
    <col min="16150" max="16150" width="12.140625" customWidth="1"/>
    <col min="16151" max="16151" width="17.85546875" customWidth="1"/>
    <col min="16152" max="16152" width="27" customWidth="1"/>
    <col min="16153" max="16153" width="12.7109375" customWidth="1"/>
    <col min="16154" max="16154" width="20" customWidth="1"/>
    <col min="16155" max="16155" width="16" bestFit="1" customWidth="1"/>
    <col min="16156" max="16156" width="13.42578125" bestFit="1" customWidth="1"/>
    <col min="16157" max="16157" width="22.42578125" customWidth="1"/>
  </cols>
  <sheetData>
    <row r="1" spans="1:29" x14ac:dyDescent="0.25">
      <c r="A1" s="29"/>
      <c r="B1" s="29"/>
      <c r="C1" s="29"/>
      <c r="D1" s="30"/>
      <c r="E1" s="30"/>
      <c r="F1" s="30"/>
      <c r="G1" s="30"/>
      <c r="H1" s="29"/>
      <c r="I1" s="29"/>
      <c r="J1" s="30"/>
      <c r="K1" s="30"/>
      <c r="L1" s="30"/>
      <c r="M1" s="30"/>
      <c r="N1" s="30"/>
      <c r="O1" s="30"/>
      <c r="P1" s="30"/>
      <c r="Q1" s="30"/>
      <c r="R1" s="30"/>
      <c r="S1" s="30"/>
      <c r="T1" s="30"/>
      <c r="U1" s="30"/>
      <c r="V1" s="30"/>
      <c r="W1" s="30"/>
      <c r="X1" s="30"/>
      <c r="Y1" s="31"/>
      <c r="Z1" s="31"/>
      <c r="AA1" s="31"/>
      <c r="AB1" s="31"/>
      <c r="AC1" s="31"/>
    </row>
    <row r="2" spans="1:29" ht="15.75" thickBot="1" x14ac:dyDescent="0.3">
      <c r="A2" s="29"/>
      <c r="B2" s="29"/>
      <c r="C2" s="29"/>
      <c r="D2" s="30"/>
      <c r="E2" s="30"/>
      <c r="F2" s="30"/>
      <c r="G2" s="30"/>
      <c r="H2" s="29"/>
      <c r="I2" s="29"/>
      <c r="J2" s="30"/>
      <c r="K2" s="30"/>
      <c r="L2" s="30"/>
      <c r="M2" s="30"/>
      <c r="N2" s="30"/>
      <c r="O2" s="30"/>
      <c r="P2" s="30"/>
      <c r="Q2" s="30"/>
      <c r="R2" s="30"/>
      <c r="S2" s="30"/>
      <c r="T2" s="30"/>
      <c r="U2" s="30"/>
      <c r="V2" s="30"/>
      <c r="W2" s="30"/>
      <c r="X2" s="30"/>
      <c r="Y2" s="31"/>
      <c r="Z2" s="31"/>
      <c r="AA2" s="31"/>
      <c r="AB2" s="31"/>
      <c r="AC2" s="31"/>
    </row>
    <row r="3" spans="1:29" ht="34.5" thickBot="1" x14ac:dyDescent="0.3">
      <c r="A3" s="29"/>
      <c r="B3" s="32" t="s">
        <v>0</v>
      </c>
      <c r="C3" s="33"/>
      <c r="D3" s="33"/>
      <c r="E3" s="33"/>
      <c r="F3" s="33"/>
      <c r="G3" s="33"/>
      <c r="H3" s="33"/>
      <c r="I3" s="33"/>
      <c r="J3" s="33"/>
      <c r="K3" s="33"/>
      <c r="L3" s="33"/>
      <c r="M3" s="33"/>
      <c r="N3" s="33"/>
      <c r="O3" s="33"/>
      <c r="P3" s="33"/>
      <c r="Q3" s="33"/>
      <c r="R3" s="33"/>
      <c r="S3" s="33"/>
      <c r="T3" s="33"/>
      <c r="U3" s="33"/>
      <c r="V3" s="33"/>
      <c r="W3" s="33"/>
      <c r="X3" s="33"/>
      <c r="Y3" s="33"/>
      <c r="Z3" s="33"/>
      <c r="AA3" s="33"/>
      <c r="AB3" s="33"/>
      <c r="AC3" s="34"/>
    </row>
    <row r="4" spans="1:29" ht="15.75" thickBot="1" x14ac:dyDescent="0.3">
      <c r="A4" s="29"/>
      <c r="B4" s="29"/>
      <c r="C4" s="29"/>
      <c r="D4" s="30"/>
      <c r="E4" s="30"/>
      <c r="F4" s="30"/>
      <c r="G4" s="30"/>
      <c r="H4" s="29"/>
      <c r="I4" s="29"/>
      <c r="J4" s="30"/>
      <c r="K4" s="30"/>
      <c r="L4" s="30"/>
      <c r="M4" s="30"/>
      <c r="N4" s="30"/>
      <c r="O4" s="30"/>
      <c r="P4" s="30"/>
      <c r="Q4" s="30"/>
      <c r="R4" s="30"/>
      <c r="S4" s="30"/>
      <c r="T4" s="30"/>
      <c r="U4" s="30"/>
      <c r="V4" s="30"/>
      <c r="W4" s="30"/>
      <c r="X4" s="30"/>
      <c r="Y4" s="31"/>
      <c r="Z4" s="31"/>
      <c r="AA4" s="31"/>
      <c r="AB4" s="31"/>
      <c r="AC4" s="31"/>
    </row>
    <row r="5" spans="1:29" ht="30.75" thickBot="1" x14ac:dyDescent="0.3">
      <c r="A5" s="29"/>
      <c r="B5" s="35" t="s">
        <v>1</v>
      </c>
      <c r="C5" s="36"/>
      <c r="D5" s="36"/>
      <c r="E5" s="36"/>
      <c r="F5" s="36"/>
      <c r="G5" s="37"/>
      <c r="H5" s="29"/>
      <c r="I5" s="29"/>
      <c r="J5" s="30"/>
      <c r="K5" s="38" t="s">
        <v>2</v>
      </c>
      <c r="L5" s="39"/>
      <c r="M5" s="40" t="s">
        <v>3</v>
      </c>
      <c r="N5" s="41"/>
      <c r="O5" s="41"/>
      <c r="P5" s="41"/>
      <c r="Q5" s="41"/>
      <c r="R5" s="41"/>
      <c r="S5" s="41"/>
      <c r="T5" s="41"/>
      <c r="U5" s="41"/>
      <c r="V5" s="41"/>
      <c r="W5" s="41"/>
      <c r="X5" s="41"/>
      <c r="Y5" s="42"/>
      <c r="Z5" s="43"/>
      <c r="AA5" s="43"/>
      <c r="AB5" s="43"/>
      <c r="AC5" s="43"/>
    </row>
    <row r="6" spans="1:29" ht="15.75" thickBot="1" x14ac:dyDescent="0.3">
      <c r="A6" s="44"/>
      <c r="B6" s="29"/>
      <c r="C6" s="29"/>
      <c r="D6" s="30"/>
      <c r="E6" s="30"/>
      <c r="F6" s="30"/>
      <c r="G6" s="30"/>
      <c r="H6" s="29"/>
      <c r="I6" s="44"/>
      <c r="J6" s="30"/>
      <c r="K6" s="45"/>
      <c r="L6" s="45"/>
      <c r="M6" s="45"/>
      <c r="N6" s="45"/>
      <c r="O6" s="45"/>
      <c r="P6" s="45"/>
      <c r="Q6" s="30"/>
      <c r="R6" s="30"/>
      <c r="S6" s="30"/>
      <c r="T6" s="30"/>
      <c r="U6" s="30"/>
      <c r="V6" s="30"/>
      <c r="W6" s="30"/>
      <c r="X6" s="30"/>
      <c r="Y6" s="31"/>
      <c r="Z6" s="31"/>
      <c r="AA6" s="31"/>
      <c r="AB6" s="31"/>
      <c r="AC6" s="31"/>
    </row>
    <row r="7" spans="1:29" ht="18.75" thickBot="1" x14ac:dyDescent="0.3">
      <c r="A7" s="29"/>
      <c r="B7" s="46" t="s">
        <v>4</v>
      </c>
      <c r="C7" s="46"/>
      <c r="D7" s="46"/>
      <c r="E7" s="46"/>
      <c r="F7" s="46"/>
      <c r="G7" s="46"/>
      <c r="H7" s="44"/>
      <c r="I7" s="29"/>
      <c r="J7" s="30"/>
      <c r="K7" s="38" t="s">
        <v>5</v>
      </c>
      <c r="L7" s="47"/>
      <c r="M7" s="48" t="s">
        <v>6</v>
      </c>
      <c r="N7" s="49"/>
      <c r="O7" s="49"/>
      <c r="P7" s="49"/>
      <c r="Q7" s="49"/>
      <c r="R7" s="49"/>
      <c r="S7" s="50"/>
      <c r="T7" s="30"/>
      <c r="U7" s="30"/>
      <c r="V7" s="30"/>
      <c r="W7" s="30"/>
      <c r="X7" s="30"/>
      <c r="Y7" s="31"/>
      <c r="Z7" s="31"/>
      <c r="AA7" s="31"/>
      <c r="AB7" s="31"/>
      <c r="AC7" s="31"/>
    </row>
    <row r="8" spans="1:29" ht="15.75" thickBot="1" x14ac:dyDescent="0.3">
      <c r="A8" s="29"/>
      <c r="B8" s="46"/>
      <c r="C8" s="46"/>
      <c r="D8" s="46"/>
      <c r="E8" s="46"/>
      <c r="F8" s="46"/>
      <c r="G8" s="46"/>
      <c r="H8" s="44"/>
      <c r="I8" s="29"/>
      <c r="J8" s="30"/>
      <c r="K8" s="30"/>
      <c r="L8" s="30"/>
      <c r="M8" s="30"/>
      <c r="N8" s="30"/>
      <c r="O8" s="30"/>
      <c r="P8" s="30"/>
      <c r="Q8" s="30"/>
      <c r="R8" s="30"/>
      <c r="S8" s="30"/>
      <c r="T8" s="30"/>
      <c r="U8" s="30"/>
      <c r="V8" s="30"/>
      <c r="W8" s="30"/>
      <c r="X8" s="30"/>
      <c r="Y8" s="31"/>
      <c r="Z8" s="31"/>
      <c r="AA8" s="31"/>
      <c r="AB8" s="31"/>
      <c r="AC8" s="31"/>
    </row>
    <row r="9" spans="1:29" ht="30.75" thickBot="1" x14ac:dyDescent="0.3">
      <c r="A9" s="29"/>
      <c r="B9" s="28" t="s">
        <v>7</v>
      </c>
      <c r="C9" s="28"/>
      <c r="D9" s="28"/>
      <c r="E9" s="28"/>
      <c r="F9" s="28"/>
      <c r="G9" s="28"/>
      <c r="H9" s="44"/>
      <c r="I9" s="29"/>
      <c r="J9" s="35" t="s">
        <v>8</v>
      </c>
      <c r="K9" s="36"/>
      <c r="L9" s="36"/>
      <c r="M9" s="36"/>
      <c r="N9" s="36"/>
      <c r="O9" s="36"/>
      <c r="P9" s="36"/>
      <c r="Q9" s="36"/>
      <c r="R9" s="36"/>
      <c r="S9" s="36"/>
      <c r="T9" s="36"/>
      <c r="U9" s="36"/>
      <c r="V9" s="36"/>
      <c r="W9" s="36"/>
      <c r="X9" s="36"/>
      <c r="Y9" s="36"/>
      <c r="Z9" s="36"/>
      <c r="AA9" s="36"/>
      <c r="AB9" s="36"/>
      <c r="AC9" s="37"/>
    </row>
    <row r="10" spans="1:29" ht="15.75" thickBot="1" x14ac:dyDescent="0.3">
      <c r="A10" s="29"/>
      <c r="B10" s="29"/>
      <c r="C10" s="29"/>
      <c r="D10" s="30"/>
      <c r="E10" s="30"/>
      <c r="F10" s="30"/>
      <c r="G10" s="30"/>
      <c r="H10" s="44"/>
      <c r="I10" s="29"/>
      <c r="J10" s="30"/>
      <c r="K10" s="30"/>
      <c r="L10" s="30"/>
      <c r="M10" s="30"/>
      <c r="N10" s="30"/>
      <c r="O10" s="30"/>
      <c r="P10" s="30"/>
      <c r="Q10" s="30"/>
      <c r="R10" s="30"/>
      <c r="S10" s="30"/>
      <c r="T10" s="30"/>
      <c r="U10" s="30"/>
      <c r="V10" s="30"/>
      <c r="W10" s="30"/>
      <c r="X10" s="30"/>
      <c r="Y10" s="31"/>
      <c r="Z10" s="31"/>
      <c r="AA10" s="31"/>
      <c r="AB10" s="31"/>
      <c r="AC10" s="31"/>
    </row>
    <row r="11" spans="1:29" ht="30" thickBot="1" x14ac:dyDescent="0.3">
      <c r="A11" s="29"/>
      <c r="B11" s="29"/>
      <c r="C11" s="51"/>
      <c r="D11" s="52" t="s">
        <v>9</v>
      </c>
      <c r="E11" s="53" t="s">
        <v>10</v>
      </c>
      <c r="F11" s="54" t="s">
        <v>11</v>
      </c>
      <c r="G11" s="53" t="s">
        <v>12</v>
      </c>
      <c r="H11" s="44"/>
      <c r="I11" s="29"/>
      <c r="J11" s="55"/>
      <c r="K11" s="56"/>
      <c r="L11" s="57" t="s">
        <v>13</v>
      </c>
      <c r="M11" s="57" t="s">
        <v>14</v>
      </c>
      <c r="N11" s="57" t="s">
        <v>15</v>
      </c>
      <c r="O11" s="57" t="s">
        <v>16</v>
      </c>
      <c r="P11" s="57" t="s">
        <v>17</v>
      </c>
      <c r="Q11" s="57" t="s">
        <v>18</v>
      </c>
      <c r="R11" s="57" t="s">
        <v>19</v>
      </c>
      <c r="S11" s="57" t="s">
        <v>20</v>
      </c>
      <c r="T11" s="57" t="s">
        <v>21</v>
      </c>
      <c r="U11" s="57" t="s">
        <v>22</v>
      </c>
      <c r="V11" s="57" t="s">
        <v>23</v>
      </c>
      <c r="W11" s="57" t="s">
        <v>24</v>
      </c>
      <c r="X11" s="57" t="s">
        <v>25</v>
      </c>
      <c r="Y11" s="58" t="s">
        <v>26</v>
      </c>
      <c r="Z11" s="59" t="s">
        <v>27</v>
      </c>
      <c r="AA11" s="60"/>
      <c r="AB11" s="60"/>
      <c r="AC11" s="61"/>
    </row>
    <row r="12" spans="1:29" ht="30" customHeight="1" x14ac:dyDescent="0.25">
      <c r="A12" s="29"/>
      <c r="B12" s="62" t="s">
        <v>28</v>
      </c>
      <c r="C12" s="63" t="s">
        <v>29</v>
      </c>
      <c r="D12" s="64" t="s">
        <v>30</v>
      </c>
      <c r="E12" s="65" t="s">
        <v>31</v>
      </c>
      <c r="F12" s="66" t="s">
        <v>32</v>
      </c>
      <c r="G12" s="67"/>
      <c r="H12" s="44"/>
      <c r="I12" s="29"/>
      <c r="J12" s="68">
        <v>1</v>
      </c>
      <c r="K12" s="69" t="s">
        <v>33</v>
      </c>
      <c r="L12" s="1"/>
      <c r="M12" s="2" t="s">
        <v>34</v>
      </c>
      <c r="N12" s="1"/>
      <c r="O12" s="1"/>
      <c r="P12" s="1">
        <v>1</v>
      </c>
      <c r="Q12" s="1"/>
      <c r="R12" s="1"/>
      <c r="S12" s="2" t="s">
        <v>35</v>
      </c>
      <c r="T12" s="1"/>
      <c r="U12" s="2" t="s">
        <v>36</v>
      </c>
      <c r="V12" s="1"/>
      <c r="W12" s="1"/>
      <c r="X12" s="3" t="s">
        <v>37</v>
      </c>
      <c r="Y12" s="4"/>
      <c r="Z12" s="70" t="s">
        <v>38</v>
      </c>
      <c r="AA12" s="71"/>
      <c r="AB12" s="71"/>
      <c r="AC12" s="72"/>
    </row>
    <row r="13" spans="1:29" ht="54" customHeight="1" x14ac:dyDescent="0.25">
      <c r="A13" s="29"/>
      <c r="B13" s="73"/>
      <c r="C13" s="74" t="s">
        <v>39</v>
      </c>
      <c r="D13" s="75" t="s">
        <v>40</v>
      </c>
      <c r="E13" s="65" t="s">
        <v>41</v>
      </c>
      <c r="F13" s="76" t="s">
        <v>32</v>
      </c>
      <c r="G13" s="77"/>
      <c r="H13" s="44"/>
      <c r="I13" s="29"/>
      <c r="J13" s="68">
        <v>2</v>
      </c>
      <c r="K13" s="69" t="s">
        <v>42</v>
      </c>
      <c r="L13" s="1"/>
      <c r="M13" s="2" t="s">
        <v>34</v>
      </c>
      <c r="N13" s="1"/>
      <c r="O13" s="1"/>
      <c r="P13" s="1">
        <v>1</v>
      </c>
      <c r="Q13" s="1"/>
      <c r="R13" s="1"/>
      <c r="S13" s="2"/>
      <c r="T13" s="5" t="s">
        <v>43</v>
      </c>
      <c r="U13" s="2" t="s">
        <v>36</v>
      </c>
      <c r="V13" s="1"/>
      <c r="W13" s="1"/>
      <c r="X13" s="3" t="s">
        <v>44</v>
      </c>
      <c r="Y13" s="4" t="s">
        <v>45</v>
      </c>
      <c r="Z13" s="70" t="s">
        <v>46</v>
      </c>
      <c r="AA13" s="71"/>
      <c r="AB13" s="71"/>
      <c r="AC13" s="72"/>
    </row>
    <row r="14" spans="1:29" ht="54" customHeight="1" x14ac:dyDescent="0.25">
      <c r="A14" s="29"/>
      <c r="B14" s="73"/>
      <c r="C14" s="74" t="s">
        <v>47</v>
      </c>
      <c r="D14" s="75" t="s">
        <v>48</v>
      </c>
      <c r="E14" s="78" t="s">
        <v>49</v>
      </c>
      <c r="F14" s="79" t="s">
        <v>50</v>
      </c>
      <c r="G14" s="77"/>
      <c r="H14" s="44"/>
      <c r="I14" s="29"/>
      <c r="J14" s="80">
        <v>3</v>
      </c>
      <c r="K14" s="81" t="s">
        <v>51</v>
      </c>
      <c r="L14" s="6"/>
      <c r="M14" s="6"/>
      <c r="N14" s="6"/>
      <c r="O14" s="6"/>
      <c r="P14" s="6"/>
      <c r="Q14" s="6">
        <v>1</v>
      </c>
      <c r="R14" s="6"/>
      <c r="S14" s="7" t="s">
        <v>52</v>
      </c>
      <c r="T14" s="8" t="s">
        <v>53</v>
      </c>
      <c r="U14" s="8" t="s">
        <v>54</v>
      </c>
      <c r="V14" s="6"/>
      <c r="W14" s="6"/>
      <c r="X14" s="7" t="s">
        <v>55</v>
      </c>
      <c r="Y14" s="9"/>
      <c r="Z14" s="70" t="s">
        <v>56</v>
      </c>
      <c r="AA14" s="71"/>
      <c r="AB14" s="71"/>
      <c r="AC14" s="72"/>
    </row>
    <row r="15" spans="1:29" ht="33" customHeight="1" x14ac:dyDescent="0.25">
      <c r="A15" s="29"/>
      <c r="B15" s="73"/>
      <c r="C15" s="63" t="s">
        <v>57</v>
      </c>
      <c r="D15" s="82" t="s">
        <v>58</v>
      </c>
      <c r="E15" s="78" t="s">
        <v>59</v>
      </c>
      <c r="F15" s="76" t="s">
        <v>32</v>
      </c>
      <c r="G15" s="67"/>
      <c r="H15" s="44"/>
      <c r="I15" s="29"/>
      <c r="J15" s="83">
        <v>4</v>
      </c>
      <c r="K15" s="84" t="s">
        <v>60</v>
      </c>
      <c r="L15" s="1"/>
      <c r="M15" s="1"/>
      <c r="N15" s="1"/>
      <c r="O15" s="1" t="s">
        <v>61</v>
      </c>
      <c r="P15" s="1">
        <v>-1</v>
      </c>
      <c r="Q15" s="1"/>
      <c r="R15" s="85" t="s">
        <v>62</v>
      </c>
      <c r="S15" s="1"/>
      <c r="T15" s="1"/>
      <c r="U15" s="1"/>
      <c r="V15" s="1"/>
      <c r="W15" s="85" t="s">
        <v>63</v>
      </c>
      <c r="X15" s="1"/>
      <c r="Y15" s="10"/>
      <c r="Z15" s="70" t="s">
        <v>64</v>
      </c>
      <c r="AA15" s="71"/>
      <c r="AB15" s="71"/>
      <c r="AC15" s="72"/>
    </row>
    <row r="16" spans="1:29" ht="19.5" x14ac:dyDescent="0.25">
      <c r="A16" s="29"/>
      <c r="B16" s="73"/>
      <c r="C16" s="74" t="s">
        <v>65</v>
      </c>
      <c r="D16" s="75" t="s">
        <v>66</v>
      </c>
      <c r="E16" s="78" t="s">
        <v>67</v>
      </c>
      <c r="F16" s="76" t="s">
        <v>32</v>
      </c>
      <c r="G16" s="77"/>
      <c r="H16" s="44"/>
      <c r="I16" s="29"/>
      <c r="J16" s="80">
        <v>5</v>
      </c>
      <c r="K16" s="81" t="s">
        <v>68</v>
      </c>
      <c r="L16" s="6"/>
      <c r="M16" s="6"/>
      <c r="N16" s="6"/>
      <c r="O16" s="6" t="s">
        <v>61</v>
      </c>
      <c r="P16" s="6"/>
      <c r="Q16" s="6">
        <v>-1</v>
      </c>
      <c r="R16" s="86" t="s">
        <v>62</v>
      </c>
      <c r="S16" s="6"/>
      <c r="T16" s="6"/>
      <c r="U16" s="6"/>
      <c r="V16" s="6"/>
      <c r="W16" s="86" t="s">
        <v>63</v>
      </c>
      <c r="X16" s="6"/>
      <c r="Y16" s="11"/>
      <c r="Z16" s="70" t="s">
        <v>69</v>
      </c>
      <c r="AA16" s="71"/>
      <c r="AB16" s="71"/>
      <c r="AC16" s="72"/>
    </row>
    <row r="17" spans="1:29" ht="43.5" customHeight="1" x14ac:dyDescent="0.25">
      <c r="A17" s="29"/>
      <c r="B17" s="73"/>
      <c r="C17" s="74" t="s">
        <v>70</v>
      </c>
      <c r="D17" s="75" t="s">
        <v>71</v>
      </c>
      <c r="E17" s="78" t="s">
        <v>72</v>
      </c>
      <c r="F17" s="76" t="s">
        <v>32</v>
      </c>
      <c r="G17" s="77"/>
      <c r="H17" s="44"/>
      <c r="I17" s="29"/>
      <c r="J17" s="87">
        <v>6</v>
      </c>
      <c r="K17" s="88" t="s">
        <v>73</v>
      </c>
      <c r="L17" s="12"/>
      <c r="M17" s="12"/>
      <c r="N17" s="12"/>
      <c r="O17" s="12"/>
      <c r="P17" s="12"/>
      <c r="Q17" s="12"/>
      <c r="R17" s="12"/>
      <c r="S17" s="12"/>
      <c r="T17" s="12"/>
      <c r="U17" s="12">
        <v>1</v>
      </c>
      <c r="V17" s="12">
        <v>-1</v>
      </c>
      <c r="W17" s="12"/>
      <c r="X17" s="13" t="s">
        <v>74</v>
      </c>
      <c r="Y17" s="14"/>
      <c r="Z17" s="70" t="s">
        <v>75</v>
      </c>
      <c r="AA17" s="71"/>
      <c r="AB17" s="71"/>
      <c r="AC17" s="72"/>
    </row>
    <row r="18" spans="1:29" ht="35.25" customHeight="1" x14ac:dyDescent="0.25">
      <c r="A18" s="29"/>
      <c r="B18" s="73"/>
      <c r="C18" s="63" t="s">
        <v>76</v>
      </c>
      <c r="D18" s="82" t="s">
        <v>77</v>
      </c>
      <c r="E18" s="78" t="s">
        <v>78</v>
      </c>
      <c r="F18" s="76" t="s">
        <v>79</v>
      </c>
      <c r="G18" s="67"/>
      <c r="H18" s="44"/>
      <c r="I18" s="29"/>
      <c r="J18" s="87">
        <v>7</v>
      </c>
      <c r="K18" s="88" t="s">
        <v>80</v>
      </c>
      <c r="L18" s="12"/>
      <c r="M18" s="12">
        <v>1</v>
      </c>
      <c r="N18" s="12"/>
      <c r="O18" s="12">
        <v>-1</v>
      </c>
      <c r="P18" s="12"/>
      <c r="Q18" s="12"/>
      <c r="R18" s="12"/>
      <c r="S18" s="12"/>
      <c r="T18" s="12"/>
      <c r="U18" s="12"/>
      <c r="V18" s="12"/>
      <c r="W18" s="12"/>
      <c r="X18" s="12"/>
      <c r="Y18" s="15"/>
      <c r="Z18" s="70" t="s">
        <v>81</v>
      </c>
      <c r="AA18" s="71"/>
      <c r="AB18" s="71"/>
      <c r="AC18" s="72"/>
    </row>
    <row r="19" spans="1:29" ht="48.75" customHeight="1" thickBot="1" x14ac:dyDescent="0.3">
      <c r="A19" s="29"/>
      <c r="B19" s="73"/>
      <c r="C19" s="89" t="s">
        <v>82</v>
      </c>
      <c r="D19" s="75" t="s">
        <v>83</v>
      </c>
      <c r="E19" s="78" t="s">
        <v>84</v>
      </c>
      <c r="F19" s="76" t="s">
        <v>79</v>
      </c>
      <c r="G19" s="77"/>
      <c r="H19" s="44"/>
      <c r="I19" s="29"/>
      <c r="J19" s="90">
        <v>8</v>
      </c>
      <c r="K19" s="91" t="s">
        <v>85</v>
      </c>
      <c r="L19" s="16"/>
      <c r="M19" s="16"/>
      <c r="N19" s="16"/>
      <c r="O19" s="16"/>
      <c r="P19" s="16"/>
      <c r="Q19" s="16"/>
      <c r="R19" s="16"/>
      <c r="S19" s="16"/>
      <c r="T19" s="16"/>
      <c r="U19" s="16"/>
      <c r="V19" s="16">
        <v>1</v>
      </c>
      <c r="W19" s="16">
        <v>-1</v>
      </c>
      <c r="X19" s="16"/>
      <c r="Y19" s="17"/>
      <c r="Z19" s="92" t="s">
        <v>86</v>
      </c>
      <c r="AA19" s="93"/>
      <c r="AB19" s="93"/>
      <c r="AC19" s="94"/>
    </row>
    <row r="20" spans="1:29" ht="20.25" thickBot="1" x14ac:dyDescent="0.3">
      <c r="A20" s="29"/>
      <c r="B20" s="73"/>
      <c r="C20" s="74" t="s">
        <v>87</v>
      </c>
      <c r="D20" s="75" t="s">
        <v>88</v>
      </c>
      <c r="E20" s="78" t="s">
        <v>89</v>
      </c>
      <c r="F20" s="76" t="s">
        <v>79</v>
      </c>
      <c r="G20" s="77"/>
      <c r="H20" s="44"/>
      <c r="I20" s="29"/>
      <c r="J20" s="30"/>
      <c r="K20" s="95" t="s">
        <v>90</v>
      </c>
      <c r="L20" s="96"/>
      <c r="M20" s="96"/>
      <c r="N20" s="96"/>
      <c r="O20" s="96"/>
      <c r="P20" s="96"/>
      <c r="Q20" s="96"/>
      <c r="R20" s="96"/>
      <c r="S20" s="96"/>
      <c r="T20" s="96"/>
      <c r="U20" s="96"/>
      <c r="V20" s="96"/>
      <c r="W20" s="96"/>
      <c r="X20" s="96"/>
      <c r="Y20" s="97"/>
      <c r="Z20" s="31"/>
      <c r="AA20" s="31"/>
      <c r="AB20" s="31"/>
      <c r="AC20" s="31"/>
    </row>
    <row r="21" spans="1:29" ht="19.5" x14ac:dyDescent="0.35">
      <c r="A21" s="29"/>
      <c r="B21" s="73"/>
      <c r="C21" s="63" t="s">
        <v>91</v>
      </c>
      <c r="D21" s="82" t="s">
        <v>92</v>
      </c>
      <c r="E21" s="78" t="s">
        <v>93</v>
      </c>
      <c r="F21" s="76" t="s">
        <v>79</v>
      </c>
      <c r="G21" s="67"/>
      <c r="H21" s="44"/>
      <c r="I21" s="29"/>
      <c r="J21" s="30"/>
      <c r="K21" s="98" t="s">
        <v>94</v>
      </c>
      <c r="L21" s="18">
        <v>1</v>
      </c>
      <c r="M21" s="19">
        <v>1</v>
      </c>
      <c r="N21" s="19">
        <v>1</v>
      </c>
      <c r="O21" s="19">
        <v>1</v>
      </c>
      <c r="P21" s="19">
        <v>1</v>
      </c>
      <c r="Q21" s="19">
        <v>1</v>
      </c>
      <c r="R21" s="19">
        <v>1</v>
      </c>
      <c r="S21" s="19">
        <v>-1</v>
      </c>
      <c r="T21" s="20" t="s">
        <v>95</v>
      </c>
      <c r="U21" s="19">
        <v>0</v>
      </c>
      <c r="V21" s="19">
        <v>0</v>
      </c>
      <c r="W21" s="19">
        <v>0</v>
      </c>
      <c r="X21" s="19">
        <v>0</v>
      </c>
      <c r="Y21" s="99" t="s">
        <v>96</v>
      </c>
      <c r="Z21" s="31"/>
      <c r="AA21" s="31"/>
      <c r="AB21" s="31"/>
      <c r="AC21" s="31"/>
    </row>
    <row r="22" spans="1:29" ht="19.5" x14ac:dyDescent="0.35">
      <c r="A22" s="29"/>
      <c r="B22" s="73"/>
      <c r="C22" s="74" t="s">
        <v>97</v>
      </c>
      <c r="D22" s="75" t="s">
        <v>98</v>
      </c>
      <c r="E22" s="78" t="s">
        <v>99</v>
      </c>
      <c r="F22" s="76" t="s">
        <v>32</v>
      </c>
      <c r="G22" s="77"/>
      <c r="H22" s="29"/>
      <c r="I22" s="29"/>
      <c r="J22" s="30"/>
      <c r="K22" s="100" t="s">
        <v>100</v>
      </c>
      <c r="L22" s="21">
        <v>0</v>
      </c>
      <c r="M22" s="21">
        <v>0</v>
      </c>
      <c r="N22" s="21">
        <v>0</v>
      </c>
      <c r="O22" s="21">
        <v>0</v>
      </c>
      <c r="P22" s="101" t="s">
        <v>101</v>
      </c>
      <c r="Q22" s="101" t="s">
        <v>101</v>
      </c>
      <c r="R22" s="101" t="s">
        <v>102</v>
      </c>
      <c r="S22" s="21">
        <v>0</v>
      </c>
      <c r="T22" s="21">
        <v>1</v>
      </c>
      <c r="U22" s="21">
        <v>1</v>
      </c>
      <c r="V22" s="21">
        <v>1</v>
      </c>
      <c r="W22" s="21">
        <v>1</v>
      </c>
      <c r="X22" s="21">
        <v>0</v>
      </c>
      <c r="Y22" s="22">
        <v>1</v>
      </c>
      <c r="Z22" s="31"/>
      <c r="AA22" s="31"/>
      <c r="AB22" s="31"/>
      <c r="AC22" s="31"/>
    </row>
    <row r="23" spans="1:29" ht="20.25" thickBot="1" x14ac:dyDescent="0.4">
      <c r="A23" s="29"/>
      <c r="B23" s="73"/>
      <c r="C23" s="74" t="s">
        <v>103</v>
      </c>
      <c r="D23" s="75" t="s">
        <v>104</v>
      </c>
      <c r="E23" s="78" t="s">
        <v>105</v>
      </c>
      <c r="F23" s="76" t="s">
        <v>32</v>
      </c>
      <c r="G23" s="77"/>
      <c r="H23" s="29"/>
      <c r="I23" s="29"/>
      <c r="J23" s="30"/>
      <c r="K23" s="102" t="s">
        <v>106</v>
      </c>
      <c r="L23" s="23">
        <v>0</v>
      </c>
      <c r="M23" s="23">
        <v>0</v>
      </c>
      <c r="N23" s="23">
        <v>0</v>
      </c>
      <c r="O23" s="23">
        <v>0</v>
      </c>
      <c r="P23" s="23">
        <v>0</v>
      </c>
      <c r="Q23" s="23">
        <v>0</v>
      </c>
      <c r="R23" s="23">
        <v>0</v>
      </c>
      <c r="S23" s="23">
        <v>0</v>
      </c>
      <c r="T23" s="24" t="s">
        <v>107</v>
      </c>
      <c r="U23" s="24" t="s">
        <v>108</v>
      </c>
      <c r="V23" s="23">
        <v>0</v>
      </c>
      <c r="W23" s="23">
        <v>0</v>
      </c>
      <c r="X23" s="23">
        <v>-1</v>
      </c>
      <c r="Y23" s="25">
        <v>0</v>
      </c>
      <c r="Z23" s="31"/>
      <c r="AA23" s="31"/>
      <c r="AB23" s="31"/>
      <c r="AC23" s="31"/>
    </row>
    <row r="24" spans="1:29" ht="20.25" thickBot="1" x14ac:dyDescent="0.3">
      <c r="A24" s="29"/>
      <c r="B24" s="103"/>
      <c r="C24" s="104" t="s">
        <v>109</v>
      </c>
      <c r="D24" s="105" t="s">
        <v>110</v>
      </c>
      <c r="E24" s="106" t="s">
        <v>111</v>
      </c>
      <c r="F24" s="107" t="s">
        <v>112</v>
      </c>
      <c r="G24" s="108"/>
      <c r="H24" s="29"/>
      <c r="I24" s="29"/>
      <c r="J24" s="30"/>
      <c r="K24" s="30"/>
      <c r="L24" s="30"/>
      <c r="M24" s="30"/>
      <c r="N24" s="30"/>
      <c r="O24" s="30"/>
      <c r="P24" s="30"/>
      <c r="Q24" s="30"/>
      <c r="R24" s="30"/>
      <c r="S24" s="30"/>
      <c r="T24" s="30"/>
      <c r="U24" s="30"/>
      <c r="V24" s="30"/>
      <c r="W24" s="30"/>
      <c r="X24" s="31"/>
      <c r="Y24" s="31"/>
      <c r="Z24" s="31"/>
      <c r="AA24" s="31"/>
      <c r="AB24" s="31"/>
      <c r="AC24" s="31"/>
    </row>
    <row r="25" spans="1:29" ht="20.25" thickBot="1" x14ac:dyDescent="0.4">
      <c r="A25" s="29"/>
      <c r="B25" s="62" t="s">
        <v>113</v>
      </c>
      <c r="C25" s="109" t="s">
        <v>114</v>
      </c>
      <c r="D25" s="110" t="s">
        <v>115</v>
      </c>
      <c r="E25" s="111" t="s">
        <v>116</v>
      </c>
      <c r="F25" s="112" t="s">
        <v>117</v>
      </c>
      <c r="G25" s="113">
        <v>0.67</v>
      </c>
      <c r="H25" s="29"/>
      <c r="I25" s="29"/>
      <c r="J25" s="30"/>
      <c r="K25" s="30"/>
      <c r="L25" s="30"/>
      <c r="M25" s="30"/>
      <c r="N25" s="30"/>
      <c r="O25" s="30"/>
      <c r="P25" s="30"/>
      <c r="Q25" s="30"/>
      <c r="R25" s="30"/>
      <c r="S25" s="30"/>
      <c r="T25" s="30"/>
      <c r="U25" s="30"/>
      <c r="V25" s="30"/>
      <c r="W25" s="30"/>
      <c r="X25" s="31"/>
      <c r="Y25" s="31"/>
      <c r="Z25" s="31"/>
      <c r="AA25" s="31"/>
      <c r="AB25" s="31"/>
      <c r="AC25" s="31"/>
    </row>
    <row r="26" spans="1:29" ht="30.75" thickBot="1" x14ac:dyDescent="0.4">
      <c r="A26" s="29"/>
      <c r="B26" s="73"/>
      <c r="C26" s="114" t="s">
        <v>118</v>
      </c>
      <c r="D26" s="115" t="s">
        <v>62</v>
      </c>
      <c r="E26" s="116" t="s">
        <v>119</v>
      </c>
      <c r="F26" s="117" t="s">
        <v>120</v>
      </c>
      <c r="G26" s="118">
        <v>0.08</v>
      </c>
      <c r="H26" s="29"/>
      <c r="I26" s="29"/>
      <c r="J26" s="35" t="s">
        <v>121</v>
      </c>
      <c r="K26" s="36"/>
      <c r="L26" s="36"/>
      <c r="M26" s="36"/>
      <c r="N26" s="36"/>
      <c r="O26" s="36"/>
      <c r="P26" s="36"/>
      <c r="Q26" s="36"/>
      <c r="R26" s="36"/>
      <c r="S26" s="36"/>
      <c r="T26" s="36"/>
      <c r="U26" s="36"/>
      <c r="V26" s="36"/>
      <c r="W26" s="36"/>
      <c r="X26" s="36"/>
      <c r="Y26" s="36"/>
      <c r="Z26" s="36"/>
      <c r="AA26" s="36"/>
      <c r="AB26" s="36"/>
      <c r="AC26" s="37"/>
    </row>
    <row r="27" spans="1:29" ht="20.25" thickBot="1" x14ac:dyDescent="0.4">
      <c r="A27" s="29"/>
      <c r="B27" s="73"/>
      <c r="C27" s="119" t="s">
        <v>122</v>
      </c>
      <c r="D27" s="120" t="s">
        <v>123</v>
      </c>
      <c r="E27" s="121" t="s">
        <v>124</v>
      </c>
      <c r="F27" s="122" t="s">
        <v>125</v>
      </c>
      <c r="G27" s="123">
        <v>0.24</v>
      </c>
      <c r="H27" s="29"/>
      <c r="I27" s="29"/>
      <c r="J27" s="30"/>
      <c r="K27" s="30"/>
      <c r="L27" s="30"/>
      <c r="M27" s="30"/>
      <c r="N27" s="30"/>
      <c r="O27" s="30"/>
      <c r="P27" s="30"/>
      <c r="Q27" s="30"/>
      <c r="R27" s="30"/>
      <c r="S27" s="30"/>
      <c r="T27" s="30"/>
      <c r="U27" s="30"/>
      <c r="V27" s="30"/>
      <c r="W27" s="30"/>
      <c r="X27" s="31"/>
      <c r="Y27" s="31"/>
      <c r="Z27" s="31"/>
      <c r="AA27" s="31"/>
      <c r="AB27" s="31"/>
      <c r="AC27" s="31"/>
    </row>
    <row r="28" spans="1:29" ht="20.25" thickBot="1" x14ac:dyDescent="0.4">
      <c r="A28" s="29"/>
      <c r="B28" s="73"/>
      <c r="C28" s="124" t="s">
        <v>126</v>
      </c>
      <c r="D28" s="125" t="s">
        <v>127</v>
      </c>
      <c r="E28" s="125" t="s">
        <v>128</v>
      </c>
      <c r="F28" s="126" t="s">
        <v>129</v>
      </c>
      <c r="G28" s="127">
        <v>8.5999999999999993E-2</v>
      </c>
      <c r="H28" s="29"/>
      <c r="I28" s="29"/>
      <c r="J28" s="55"/>
      <c r="K28" s="56"/>
      <c r="L28" s="128" t="s">
        <v>130</v>
      </c>
      <c r="M28" s="128" t="s">
        <v>131</v>
      </c>
      <c r="N28" s="128" t="s">
        <v>132</v>
      </c>
      <c r="O28" s="128" t="s">
        <v>133</v>
      </c>
      <c r="P28" s="128" t="s">
        <v>134</v>
      </c>
      <c r="Q28" s="128" t="s">
        <v>135</v>
      </c>
      <c r="R28" s="128" t="s">
        <v>136</v>
      </c>
      <c r="S28" s="128" t="s">
        <v>137</v>
      </c>
      <c r="T28" s="129" t="s">
        <v>138</v>
      </c>
      <c r="U28" s="128" t="s">
        <v>139</v>
      </c>
      <c r="V28" s="128" t="s">
        <v>140</v>
      </c>
      <c r="W28" s="128" t="s">
        <v>141</v>
      </c>
      <c r="X28" s="128" t="s">
        <v>142</v>
      </c>
      <c r="Y28" s="130" t="s">
        <v>26</v>
      </c>
      <c r="Z28" s="59" t="s">
        <v>27</v>
      </c>
      <c r="AA28" s="60"/>
      <c r="AB28" s="60"/>
      <c r="AC28" s="61"/>
    </row>
    <row r="29" spans="1:29" ht="39" customHeight="1" x14ac:dyDescent="0.25">
      <c r="A29" s="29"/>
      <c r="B29" s="73"/>
      <c r="C29" s="131" t="s">
        <v>143</v>
      </c>
      <c r="D29" s="125" t="s">
        <v>144</v>
      </c>
      <c r="E29" s="125" t="s">
        <v>145</v>
      </c>
      <c r="F29" s="126" t="s">
        <v>146</v>
      </c>
      <c r="G29" s="127">
        <v>0.06</v>
      </c>
      <c r="H29" s="29"/>
      <c r="I29" s="29"/>
      <c r="J29" s="68">
        <v>1</v>
      </c>
      <c r="K29" s="69" t="s">
        <v>33</v>
      </c>
      <c r="L29" s="1"/>
      <c r="M29" s="5" t="s">
        <v>147</v>
      </c>
      <c r="N29" s="1"/>
      <c r="O29" s="1"/>
      <c r="P29" s="1">
        <v>1</v>
      </c>
      <c r="Q29" s="1"/>
      <c r="R29" s="1"/>
      <c r="S29" s="5" t="s">
        <v>148</v>
      </c>
      <c r="T29" s="1"/>
      <c r="U29" s="2" t="s">
        <v>149</v>
      </c>
      <c r="V29" s="1"/>
      <c r="W29" s="1"/>
      <c r="X29" s="3" t="s">
        <v>150</v>
      </c>
      <c r="Y29" s="4"/>
      <c r="Z29" s="70" t="s">
        <v>151</v>
      </c>
      <c r="AA29" s="71"/>
      <c r="AB29" s="71"/>
      <c r="AC29" s="72"/>
    </row>
    <row r="30" spans="1:29" ht="58.5" customHeight="1" x14ac:dyDescent="0.25">
      <c r="A30" s="29"/>
      <c r="B30" s="73"/>
      <c r="C30" s="132" t="s">
        <v>152</v>
      </c>
      <c r="D30" s="133" t="s">
        <v>153</v>
      </c>
      <c r="E30" s="134" t="s">
        <v>153</v>
      </c>
      <c r="F30" s="135" t="s">
        <v>154</v>
      </c>
      <c r="G30" s="136">
        <f>40/14</f>
        <v>2.8571428571428572</v>
      </c>
      <c r="H30" s="29"/>
      <c r="I30" s="29"/>
      <c r="J30" s="68">
        <v>2</v>
      </c>
      <c r="K30" s="69" t="s">
        <v>42</v>
      </c>
      <c r="L30" s="1"/>
      <c r="M30" s="5" t="s">
        <v>147</v>
      </c>
      <c r="N30" s="1"/>
      <c r="O30" s="1"/>
      <c r="P30" s="1">
        <v>1</v>
      </c>
      <c r="Q30" s="1"/>
      <c r="R30" s="1"/>
      <c r="S30" s="2"/>
      <c r="T30" s="5" t="s">
        <v>155</v>
      </c>
      <c r="U30" s="2" t="s">
        <v>149</v>
      </c>
      <c r="V30" s="1"/>
      <c r="W30" s="1"/>
      <c r="X30" s="3" t="s">
        <v>156</v>
      </c>
      <c r="Y30" s="4" t="s">
        <v>157</v>
      </c>
      <c r="Z30" s="70" t="s">
        <v>158</v>
      </c>
      <c r="AA30" s="71"/>
      <c r="AB30" s="71"/>
      <c r="AC30" s="72"/>
    </row>
    <row r="31" spans="1:29" ht="58.5" customHeight="1" x14ac:dyDescent="0.25">
      <c r="A31" s="29"/>
      <c r="B31" s="73"/>
      <c r="C31" s="132" t="s">
        <v>159</v>
      </c>
      <c r="D31" s="133" t="s">
        <v>160</v>
      </c>
      <c r="E31" s="134" t="s">
        <v>160</v>
      </c>
      <c r="F31" s="135" t="s">
        <v>154</v>
      </c>
      <c r="G31" s="136">
        <f>-64/14</f>
        <v>-4.5714285714285712</v>
      </c>
      <c r="H31" s="29"/>
      <c r="I31" s="29"/>
      <c r="J31" s="80">
        <v>3</v>
      </c>
      <c r="K31" s="81" t="s">
        <v>51</v>
      </c>
      <c r="L31" s="6"/>
      <c r="M31" s="6"/>
      <c r="N31" s="6"/>
      <c r="O31" s="6"/>
      <c r="P31" s="6"/>
      <c r="Q31" s="6">
        <v>1</v>
      </c>
      <c r="R31" s="6"/>
      <c r="S31" s="7" t="s">
        <v>161</v>
      </c>
      <c r="T31" s="8" t="s">
        <v>162</v>
      </c>
      <c r="U31" s="7" t="s">
        <v>163</v>
      </c>
      <c r="V31" s="6"/>
      <c r="W31" s="6"/>
      <c r="X31" s="7" t="s">
        <v>164</v>
      </c>
      <c r="Y31" s="9"/>
      <c r="Z31" s="70" t="s">
        <v>165</v>
      </c>
      <c r="AA31" s="71"/>
      <c r="AB31" s="71"/>
      <c r="AC31" s="72"/>
    </row>
    <row r="32" spans="1:29" ht="39" x14ac:dyDescent="0.25">
      <c r="A32" s="29"/>
      <c r="B32" s="73"/>
      <c r="C32" s="132" t="s">
        <v>166</v>
      </c>
      <c r="D32" s="133" t="s">
        <v>167</v>
      </c>
      <c r="E32" s="134" t="s">
        <v>167</v>
      </c>
      <c r="F32" s="135" t="s">
        <v>154</v>
      </c>
      <c r="G32" s="137">
        <f>-24/14</f>
        <v>-1.7142857142857142</v>
      </c>
      <c r="H32" s="29"/>
      <c r="I32" s="29"/>
      <c r="J32" s="83">
        <v>4</v>
      </c>
      <c r="K32" s="84" t="s">
        <v>60</v>
      </c>
      <c r="L32" s="1"/>
      <c r="M32" s="1"/>
      <c r="N32" s="1"/>
      <c r="O32" s="1" t="s">
        <v>168</v>
      </c>
      <c r="P32" s="1">
        <v>-1</v>
      </c>
      <c r="Q32" s="1"/>
      <c r="R32" s="85" t="s">
        <v>119</v>
      </c>
      <c r="S32" s="1"/>
      <c r="T32" s="1"/>
      <c r="U32" s="1"/>
      <c r="V32" s="1"/>
      <c r="W32" s="85" t="s">
        <v>169</v>
      </c>
      <c r="X32" s="1"/>
      <c r="Y32" s="10"/>
      <c r="Z32" s="70" t="s">
        <v>170</v>
      </c>
      <c r="AA32" s="71"/>
      <c r="AB32" s="71"/>
      <c r="AC32" s="72"/>
    </row>
    <row r="33" spans="1:29" ht="39" x14ac:dyDescent="0.25">
      <c r="A33" s="29"/>
      <c r="B33" s="73"/>
      <c r="C33" s="132" t="s">
        <v>171</v>
      </c>
      <c r="D33" s="133" t="s">
        <v>74</v>
      </c>
      <c r="E33" s="133" t="s">
        <v>74</v>
      </c>
      <c r="F33" s="135" t="s">
        <v>172</v>
      </c>
      <c r="G33" s="136">
        <f>1/14</f>
        <v>7.1428571428571425E-2</v>
      </c>
      <c r="H33" s="29"/>
      <c r="I33" s="29"/>
      <c r="J33" s="80">
        <v>5</v>
      </c>
      <c r="K33" s="81" t="s">
        <v>68</v>
      </c>
      <c r="L33" s="6"/>
      <c r="M33" s="6"/>
      <c r="N33" s="6"/>
      <c r="O33" s="6" t="s">
        <v>168</v>
      </c>
      <c r="P33" s="6"/>
      <c r="Q33" s="6">
        <v>-1</v>
      </c>
      <c r="R33" s="86" t="s">
        <v>119</v>
      </c>
      <c r="S33" s="6"/>
      <c r="T33" s="6"/>
      <c r="U33" s="6"/>
      <c r="V33" s="6"/>
      <c r="W33" s="86" t="s">
        <v>169</v>
      </c>
      <c r="X33" s="6"/>
      <c r="Y33" s="11"/>
      <c r="Z33" s="70" t="s">
        <v>173</v>
      </c>
      <c r="AA33" s="71"/>
      <c r="AB33" s="71"/>
      <c r="AC33" s="72"/>
    </row>
    <row r="34" spans="1:29" ht="44.25" customHeight="1" thickBot="1" x14ac:dyDescent="0.3">
      <c r="A34" s="29"/>
      <c r="B34" s="103"/>
      <c r="C34" s="138" t="s">
        <v>174</v>
      </c>
      <c r="D34" s="139" t="s">
        <v>175</v>
      </c>
      <c r="E34" s="139" t="s">
        <v>175</v>
      </c>
      <c r="F34" s="140" t="s">
        <v>172</v>
      </c>
      <c r="G34" s="141">
        <f>-1/14</f>
        <v>-7.1428571428571425E-2</v>
      </c>
      <c r="H34" s="29"/>
      <c r="I34" s="29"/>
      <c r="J34" s="87">
        <v>6</v>
      </c>
      <c r="K34" s="88" t="s">
        <v>73</v>
      </c>
      <c r="L34" s="12"/>
      <c r="M34" s="12"/>
      <c r="N34" s="12"/>
      <c r="O34" s="12"/>
      <c r="P34" s="12"/>
      <c r="Q34" s="12"/>
      <c r="R34" s="12"/>
      <c r="S34" s="12"/>
      <c r="T34" s="12"/>
      <c r="U34" s="12">
        <v>1</v>
      </c>
      <c r="V34" s="12">
        <v>-1</v>
      </c>
      <c r="W34" s="12"/>
      <c r="X34" s="13" t="s">
        <v>74</v>
      </c>
      <c r="Y34" s="14"/>
      <c r="Z34" s="70" t="s">
        <v>176</v>
      </c>
      <c r="AA34" s="71"/>
      <c r="AB34" s="71"/>
      <c r="AC34" s="72"/>
    </row>
    <row r="35" spans="1:29" ht="39.75" customHeight="1" x14ac:dyDescent="0.25">
      <c r="A35" s="29"/>
      <c r="B35" s="62" t="s">
        <v>177</v>
      </c>
      <c r="C35" s="142" t="s">
        <v>178</v>
      </c>
      <c r="D35" s="143" t="s">
        <v>179</v>
      </c>
      <c r="E35" s="144" t="s">
        <v>180</v>
      </c>
      <c r="F35" s="145" t="s">
        <v>181</v>
      </c>
      <c r="G35" s="146">
        <v>3</v>
      </c>
      <c r="H35" s="29"/>
      <c r="I35" s="29"/>
      <c r="J35" s="87">
        <v>7</v>
      </c>
      <c r="K35" s="88" t="s">
        <v>80</v>
      </c>
      <c r="L35" s="12"/>
      <c r="M35" s="12">
        <v>1</v>
      </c>
      <c r="N35" s="12"/>
      <c r="O35" s="12">
        <v>-1</v>
      </c>
      <c r="P35" s="12"/>
      <c r="Q35" s="12"/>
      <c r="R35" s="12"/>
      <c r="S35" s="12"/>
      <c r="T35" s="12"/>
      <c r="U35" s="12"/>
      <c r="V35" s="12"/>
      <c r="W35" s="12"/>
      <c r="X35" s="12"/>
      <c r="Y35" s="15"/>
      <c r="Z35" s="70" t="s">
        <v>182</v>
      </c>
      <c r="AA35" s="71"/>
      <c r="AB35" s="71"/>
      <c r="AC35" s="72"/>
    </row>
    <row r="36" spans="1:29" ht="47.25" customHeight="1" thickBot="1" x14ac:dyDescent="0.3">
      <c r="A36" s="29"/>
      <c r="B36" s="73"/>
      <c r="C36" s="147" t="s">
        <v>183</v>
      </c>
      <c r="D36" s="148" t="s">
        <v>184</v>
      </c>
      <c r="E36" s="149" t="s">
        <v>185</v>
      </c>
      <c r="F36" s="150" t="s">
        <v>186</v>
      </c>
      <c r="G36" s="151">
        <v>0.03</v>
      </c>
      <c r="H36" s="29"/>
      <c r="I36" s="29"/>
      <c r="J36" s="90">
        <v>8</v>
      </c>
      <c r="K36" s="91" t="s">
        <v>85</v>
      </c>
      <c r="L36" s="16"/>
      <c r="M36" s="16"/>
      <c r="N36" s="16"/>
      <c r="O36" s="16"/>
      <c r="P36" s="16"/>
      <c r="Q36" s="16"/>
      <c r="R36" s="16"/>
      <c r="S36" s="16"/>
      <c r="T36" s="16"/>
      <c r="U36" s="16"/>
      <c r="V36" s="16">
        <v>1</v>
      </c>
      <c r="W36" s="16">
        <v>-1</v>
      </c>
      <c r="X36" s="16"/>
      <c r="Y36" s="17"/>
      <c r="Z36" s="92" t="s">
        <v>187</v>
      </c>
      <c r="AA36" s="93"/>
      <c r="AB36" s="93"/>
      <c r="AC36" s="94"/>
    </row>
    <row r="37" spans="1:29" ht="20.25" thickBot="1" x14ac:dyDescent="0.3">
      <c r="A37" s="29"/>
      <c r="B37" s="73"/>
      <c r="C37" s="147" t="s">
        <v>188</v>
      </c>
      <c r="D37" s="148" t="s">
        <v>189</v>
      </c>
      <c r="E37" s="149" t="s">
        <v>190</v>
      </c>
      <c r="F37" s="152" t="s">
        <v>191</v>
      </c>
      <c r="G37" s="151">
        <v>0.4</v>
      </c>
      <c r="H37" s="29"/>
      <c r="I37" s="29"/>
      <c r="J37" s="30"/>
      <c r="K37" s="95" t="s">
        <v>90</v>
      </c>
      <c r="L37" s="96"/>
      <c r="M37" s="96"/>
      <c r="N37" s="96"/>
      <c r="O37" s="96"/>
      <c r="P37" s="96"/>
      <c r="Q37" s="96"/>
      <c r="R37" s="96"/>
      <c r="S37" s="96"/>
      <c r="T37" s="96"/>
      <c r="U37" s="96"/>
      <c r="V37" s="96"/>
      <c r="W37" s="96"/>
      <c r="X37" s="96"/>
      <c r="Y37" s="97"/>
      <c r="Z37" s="31"/>
      <c r="AA37" s="31"/>
      <c r="AB37" s="31"/>
      <c r="AC37" s="31"/>
    </row>
    <row r="38" spans="1:29" ht="19.5" x14ac:dyDescent="0.35">
      <c r="A38" s="29"/>
      <c r="B38" s="73"/>
      <c r="C38" s="153" t="s">
        <v>192</v>
      </c>
      <c r="D38" s="154" t="s">
        <v>193</v>
      </c>
      <c r="E38" s="155" t="s">
        <v>194</v>
      </c>
      <c r="F38" s="156" t="s">
        <v>195</v>
      </c>
      <c r="G38" s="157">
        <v>6</v>
      </c>
      <c r="H38" s="29"/>
      <c r="I38" s="29"/>
      <c r="J38" s="30"/>
      <c r="K38" s="98" t="s">
        <v>94</v>
      </c>
      <c r="L38" s="18">
        <v>1</v>
      </c>
      <c r="M38" s="19">
        <v>1</v>
      </c>
      <c r="N38" s="19">
        <v>1</v>
      </c>
      <c r="O38" s="19">
        <v>1</v>
      </c>
      <c r="P38" s="19">
        <v>1</v>
      </c>
      <c r="Q38" s="19">
        <v>1</v>
      </c>
      <c r="R38" s="19">
        <v>1</v>
      </c>
      <c r="S38" s="19">
        <v>-1</v>
      </c>
      <c r="T38" s="20" t="s">
        <v>95</v>
      </c>
      <c r="U38" s="19">
        <v>0</v>
      </c>
      <c r="V38" s="19">
        <v>0</v>
      </c>
      <c r="W38" s="19">
        <v>0</v>
      </c>
      <c r="X38" s="19">
        <v>0</v>
      </c>
      <c r="Y38" s="99" t="s">
        <v>96</v>
      </c>
      <c r="Z38" s="31"/>
      <c r="AA38" s="31"/>
      <c r="AB38" s="31"/>
      <c r="AC38" s="31"/>
    </row>
    <row r="39" spans="1:29" ht="19.5" x14ac:dyDescent="0.35">
      <c r="A39" s="29"/>
      <c r="B39" s="73"/>
      <c r="C39" s="153" t="s">
        <v>196</v>
      </c>
      <c r="D39" s="154" t="s">
        <v>197</v>
      </c>
      <c r="E39" s="155" t="s">
        <v>198</v>
      </c>
      <c r="F39" s="156" t="s">
        <v>191</v>
      </c>
      <c r="G39" s="157">
        <v>0.8</v>
      </c>
      <c r="H39" s="29"/>
      <c r="I39" s="29"/>
      <c r="J39" s="30"/>
      <c r="K39" s="100" t="s">
        <v>100</v>
      </c>
      <c r="L39" s="21">
        <v>0</v>
      </c>
      <c r="M39" s="21">
        <v>0</v>
      </c>
      <c r="N39" s="21">
        <v>0</v>
      </c>
      <c r="O39" s="21">
        <v>0</v>
      </c>
      <c r="P39" s="101" t="s">
        <v>199</v>
      </c>
      <c r="Q39" s="101" t="s">
        <v>199</v>
      </c>
      <c r="R39" s="101" t="s">
        <v>200</v>
      </c>
      <c r="S39" s="21">
        <v>0</v>
      </c>
      <c r="T39" s="21">
        <v>1</v>
      </c>
      <c r="U39" s="21">
        <v>1</v>
      </c>
      <c r="V39" s="21">
        <v>1</v>
      </c>
      <c r="W39" s="21">
        <v>1</v>
      </c>
      <c r="X39" s="21">
        <v>0</v>
      </c>
      <c r="Y39" s="26">
        <v>1</v>
      </c>
      <c r="Z39" s="31"/>
      <c r="AA39" s="31"/>
      <c r="AB39" s="31"/>
      <c r="AC39" s="31"/>
    </row>
    <row r="40" spans="1:29" ht="20.25" thickBot="1" x14ac:dyDescent="0.4">
      <c r="A40" s="29"/>
      <c r="B40" s="73"/>
      <c r="C40" s="158" t="s">
        <v>201</v>
      </c>
      <c r="D40" s="154" t="s">
        <v>202</v>
      </c>
      <c r="E40" s="155" t="s">
        <v>203</v>
      </c>
      <c r="F40" s="156" t="s">
        <v>204</v>
      </c>
      <c r="G40" s="157">
        <v>20</v>
      </c>
      <c r="H40" s="29"/>
      <c r="I40" s="29"/>
      <c r="J40" s="30"/>
      <c r="K40" s="102" t="s">
        <v>106</v>
      </c>
      <c r="L40" s="23">
        <v>0</v>
      </c>
      <c r="M40" s="23">
        <v>0</v>
      </c>
      <c r="N40" s="23">
        <v>0</v>
      </c>
      <c r="O40" s="23">
        <v>0</v>
      </c>
      <c r="P40" s="23">
        <v>0</v>
      </c>
      <c r="Q40" s="23">
        <v>0</v>
      </c>
      <c r="R40" s="23">
        <v>0</v>
      </c>
      <c r="S40" s="23">
        <v>0</v>
      </c>
      <c r="T40" s="24" t="s">
        <v>107</v>
      </c>
      <c r="U40" s="24" t="s">
        <v>108</v>
      </c>
      <c r="V40" s="23">
        <v>0</v>
      </c>
      <c r="W40" s="23">
        <v>0</v>
      </c>
      <c r="X40" s="23">
        <v>-1</v>
      </c>
      <c r="Y40" s="27">
        <v>0</v>
      </c>
      <c r="Z40" s="31"/>
      <c r="AA40" s="31"/>
      <c r="AB40" s="31"/>
      <c r="AC40" s="31"/>
    </row>
    <row r="41" spans="1:29" ht="19.5" x14ac:dyDescent="0.25">
      <c r="A41" s="29"/>
      <c r="B41" s="73"/>
      <c r="C41" s="159" t="s">
        <v>205</v>
      </c>
      <c r="D41" s="160" t="s">
        <v>206</v>
      </c>
      <c r="E41" s="161" t="s">
        <v>207</v>
      </c>
      <c r="F41" s="162" t="s">
        <v>195</v>
      </c>
      <c r="G41" s="163">
        <v>0.62</v>
      </c>
      <c r="H41" s="29"/>
      <c r="I41" s="29"/>
      <c r="J41" s="30"/>
      <c r="K41" s="30"/>
      <c r="L41" s="30"/>
      <c r="M41" s="30"/>
      <c r="N41" s="30"/>
      <c r="O41" s="30"/>
      <c r="P41" s="30"/>
      <c r="Q41" s="30"/>
      <c r="R41" s="30"/>
      <c r="S41" s="30"/>
      <c r="T41" s="30"/>
      <c r="U41" s="30"/>
      <c r="V41" s="30"/>
      <c r="W41" s="30"/>
      <c r="X41" s="30"/>
      <c r="Y41" s="31"/>
      <c r="Z41" s="31"/>
      <c r="AA41" s="31"/>
      <c r="AB41" s="31"/>
      <c r="AC41" s="31"/>
    </row>
    <row r="42" spans="1:29" ht="20.25" thickBot="1" x14ac:dyDescent="0.3">
      <c r="A42" s="29"/>
      <c r="B42" s="73"/>
      <c r="C42" s="158" t="s">
        <v>208</v>
      </c>
      <c r="D42" s="154" t="s">
        <v>209</v>
      </c>
      <c r="E42" s="155" t="s">
        <v>210</v>
      </c>
      <c r="F42" s="156" t="s">
        <v>211</v>
      </c>
      <c r="G42" s="157">
        <v>0.2</v>
      </c>
      <c r="H42" s="29"/>
      <c r="I42" s="29"/>
      <c r="J42" s="30"/>
      <c r="K42" s="30"/>
      <c r="L42" s="30"/>
      <c r="M42" s="30"/>
      <c r="N42" s="30"/>
      <c r="O42" s="30"/>
      <c r="P42" s="30"/>
      <c r="Q42" s="30"/>
      <c r="R42" s="30"/>
      <c r="S42" s="30"/>
      <c r="T42" s="30"/>
      <c r="U42" s="30"/>
      <c r="V42" s="30"/>
      <c r="W42" s="30"/>
      <c r="X42" s="30"/>
      <c r="Y42" s="31"/>
      <c r="Z42" s="31"/>
      <c r="AA42" s="31"/>
      <c r="AB42" s="31"/>
      <c r="AC42" s="31"/>
    </row>
    <row r="43" spans="1:29" ht="30.75" thickBot="1" x14ac:dyDescent="0.3">
      <c r="A43" s="29"/>
      <c r="B43" s="73"/>
      <c r="C43" s="164" t="s">
        <v>212</v>
      </c>
      <c r="D43" s="165" t="s">
        <v>213</v>
      </c>
      <c r="E43" s="110" t="s">
        <v>214</v>
      </c>
      <c r="F43" s="156" t="s">
        <v>215</v>
      </c>
      <c r="G43" s="166">
        <v>0.5</v>
      </c>
      <c r="H43" s="29"/>
      <c r="I43" s="29"/>
      <c r="J43" s="35" t="s">
        <v>216</v>
      </c>
      <c r="K43" s="36"/>
      <c r="L43" s="36"/>
      <c r="M43" s="36"/>
      <c r="N43" s="36"/>
      <c r="O43" s="36"/>
      <c r="P43" s="36"/>
      <c r="Q43" s="36"/>
      <c r="R43" s="36"/>
      <c r="S43" s="36"/>
      <c r="T43" s="36"/>
      <c r="U43" s="36"/>
      <c r="V43" s="36"/>
      <c r="W43" s="36"/>
      <c r="X43" s="36"/>
      <c r="Y43" s="36"/>
      <c r="Z43" s="36"/>
      <c r="AA43" s="36"/>
      <c r="AB43" s="36"/>
      <c r="AC43" s="37"/>
    </row>
    <row r="44" spans="1:29" ht="19.5" x14ac:dyDescent="0.25">
      <c r="A44" s="29"/>
      <c r="B44" s="73"/>
      <c r="C44" s="167" t="s">
        <v>217</v>
      </c>
      <c r="D44" s="168" t="s">
        <v>218</v>
      </c>
      <c r="E44" s="169" t="s">
        <v>219</v>
      </c>
      <c r="F44" s="170" t="s">
        <v>220</v>
      </c>
      <c r="G44" s="171">
        <v>0.05</v>
      </c>
      <c r="H44" s="29"/>
      <c r="I44" s="29"/>
      <c r="J44" s="30"/>
      <c r="K44" s="30"/>
      <c r="L44" s="30"/>
      <c r="M44" s="30"/>
      <c r="N44" s="30"/>
      <c r="O44" s="30"/>
      <c r="P44" s="30"/>
      <c r="Q44" s="30"/>
      <c r="R44" s="30"/>
      <c r="S44" s="30"/>
      <c r="T44" s="30"/>
      <c r="U44" s="30"/>
      <c r="V44" s="30"/>
      <c r="W44" s="30"/>
      <c r="X44" s="30"/>
      <c r="Y44" s="31"/>
      <c r="Z44" s="31"/>
      <c r="AA44" s="31"/>
      <c r="AB44" s="31"/>
      <c r="AC44" s="31"/>
    </row>
    <row r="45" spans="1:29" ht="20.25" thickBot="1" x14ac:dyDescent="0.3">
      <c r="A45" s="29"/>
      <c r="B45" s="73"/>
      <c r="C45" s="172" t="s">
        <v>221</v>
      </c>
      <c r="D45" s="173" t="s">
        <v>222</v>
      </c>
      <c r="E45" s="120" t="s">
        <v>223</v>
      </c>
      <c r="F45" s="174" t="s">
        <v>195</v>
      </c>
      <c r="G45" s="175">
        <v>0.8</v>
      </c>
      <c r="H45" s="29"/>
      <c r="I45" s="29"/>
      <c r="J45" s="30"/>
      <c r="K45" s="30"/>
      <c r="L45" s="30"/>
      <c r="M45" s="30"/>
      <c r="N45" s="30"/>
      <c r="O45" s="30"/>
      <c r="P45" s="30"/>
      <c r="Q45" s="30"/>
      <c r="R45" s="30"/>
      <c r="S45" s="30"/>
      <c r="T45" s="30"/>
      <c r="U45" s="30"/>
      <c r="V45" s="30"/>
      <c r="W45" s="30"/>
      <c r="X45" s="30"/>
      <c r="Y45" s="31"/>
      <c r="Z45" s="176" t="s">
        <v>90</v>
      </c>
      <c r="AA45" s="177"/>
      <c r="AB45" s="177"/>
      <c r="AC45" s="177"/>
    </row>
    <row r="46" spans="1:29" ht="20.25" thickBot="1" x14ac:dyDescent="0.3">
      <c r="A46" s="29"/>
      <c r="B46" s="73"/>
      <c r="C46" s="178" t="s">
        <v>224</v>
      </c>
      <c r="D46" s="179" t="s">
        <v>225</v>
      </c>
      <c r="E46" s="180" t="s">
        <v>226</v>
      </c>
      <c r="F46" s="181" t="s">
        <v>195</v>
      </c>
      <c r="G46" s="182">
        <v>0.15</v>
      </c>
      <c r="H46" s="29"/>
      <c r="I46" s="29"/>
      <c r="J46" s="30"/>
      <c r="K46" s="30"/>
      <c r="L46" s="183"/>
      <c r="M46" s="183"/>
      <c r="N46" s="183"/>
      <c r="O46" s="183"/>
      <c r="P46" s="183"/>
      <c r="Q46" s="183"/>
      <c r="R46" s="183"/>
      <c r="S46" s="183"/>
      <c r="T46" s="183"/>
      <c r="U46" s="183"/>
      <c r="V46" s="183"/>
      <c r="W46" s="183"/>
      <c r="X46" s="183"/>
      <c r="Y46" s="184"/>
      <c r="Z46" s="183"/>
      <c r="AA46" s="185" t="s">
        <v>94</v>
      </c>
      <c r="AB46" s="186" t="s">
        <v>100</v>
      </c>
      <c r="AC46" s="186" t="s">
        <v>106</v>
      </c>
    </row>
    <row r="47" spans="1:29" ht="19.5" x14ac:dyDescent="0.25">
      <c r="A47" s="29"/>
      <c r="B47" s="73"/>
      <c r="C47" s="172" t="s">
        <v>227</v>
      </c>
      <c r="D47" s="173" t="s">
        <v>228</v>
      </c>
      <c r="E47" s="120" t="s">
        <v>229</v>
      </c>
      <c r="F47" s="174" t="s">
        <v>230</v>
      </c>
      <c r="G47" s="175">
        <v>0.08</v>
      </c>
      <c r="H47" s="29"/>
      <c r="I47" s="29"/>
      <c r="J47" s="30"/>
      <c r="K47" s="30"/>
      <c r="L47" s="183"/>
      <c r="M47" s="183"/>
      <c r="N47" s="183"/>
      <c r="O47" s="183"/>
      <c r="P47" s="183"/>
      <c r="Q47" s="183"/>
      <c r="R47" s="183"/>
      <c r="S47" s="183"/>
      <c r="T47" s="183"/>
      <c r="U47" s="183"/>
      <c r="V47" s="183"/>
      <c r="W47" s="183"/>
      <c r="X47" s="183"/>
      <c r="Y47" s="184"/>
      <c r="Z47" s="187" t="s">
        <v>231</v>
      </c>
      <c r="AA47" s="188">
        <v>1</v>
      </c>
      <c r="AB47" s="189">
        <v>0</v>
      </c>
      <c r="AC47" s="190">
        <v>0</v>
      </c>
    </row>
    <row r="48" spans="1:29" ht="19.5" x14ac:dyDescent="0.25">
      <c r="A48" s="29"/>
      <c r="B48" s="73"/>
      <c r="C48" s="172" t="s">
        <v>208</v>
      </c>
      <c r="D48" s="179" t="s">
        <v>232</v>
      </c>
      <c r="E48" s="120" t="s">
        <v>233</v>
      </c>
      <c r="F48" s="191" t="s">
        <v>211</v>
      </c>
      <c r="G48" s="122">
        <v>0.4</v>
      </c>
      <c r="H48" s="29"/>
      <c r="I48" s="29"/>
      <c r="J48" s="30"/>
      <c r="K48" s="30"/>
      <c r="L48" s="183"/>
      <c r="M48" s="183"/>
      <c r="N48" s="183"/>
      <c r="O48" s="183"/>
      <c r="P48" s="183"/>
      <c r="Q48" s="183"/>
      <c r="R48" s="183"/>
      <c r="S48" s="183"/>
      <c r="T48" s="183"/>
      <c r="U48" s="183"/>
      <c r="V48" s="183"/>
      <c r="W48" s="183"/>
      <c r="X48" s="183"/>
      <c r="Y48" s="184"/>
      <c r="Z48" s="192" t="s">
        <v>234</v>
      </c>
      <c r="AA48" s="193">
        <v>1</v>
      </c>
      <c r="AB48" s="194">
        <v>0</v>
      </c>
      <c r="AC48" s="193">
        <v>0</v>
      </c>
    </row>
    <row r="49" spans="1:29" ht="20.25" thickBot="1" x14ac:dyDescent="0.3">
      <c r="A49" s="29"/>
      <c r="B49" s="103"/>
      <c r="C49" s="195" t="s">
        <v>235</v>
      </c>
      <c r="D49" s="196" t="s">
        <v>236</v>
      </c>
      <c r="E49" s="197" t="s">
        <v>237</v>
      </c>
      <c r="F49" s="198" t="s">
        <v>238</v>
      </c>
      <c r="G49" s="199">
        <v>1</v>
      </c>
      <c r="H49" s="29"/>
      <c r="I49" s="29"/>
      <c r="J49" s="30"/>
      <c r="K49" s="30"/>
      <c r="L49" s="183"/>
      <c r="M49" s="183"/>
      <c r="N49" s="183"/>
      <c r="O49" s="183"/>
      <c r="P49" s="183"/>
      <c r="Q49" s="183"/>
      <c r="R49" s="183"/>
      <c r="S49" s="183"/>
      <c r="T49" s="183"/>
      <c r="U49" s="183"/>
      <c r="V49" s="183"/>
      <c r="W49" s="183"/>
      <c r="X49" s="183"/>
      <c r="Y49" s="184"/>
      <c r="Z49" s="192" t="s">
        <v>239</v>
      </c>
      <c r="AA49" s="193">
        <v>1</v>
      </c>
      <c r="AB49" s="194">
        <v>0</v>
      </c>
      <c r="AC49" s="193">
        <v>0</v>
      </c>
    </row>
    <row r="50" spans="1:29" ht="15.75" x14ac:dyDescent="0.25">
      <c r="A50" s="29"/>
      <c r="B50" s="29"/>
      <c r="C50" s="29"/>
      <c r="D50" s="30"/>
      <c r="E50" s="30"/>
      <c r="F50" s="30"/>
      <c r="G50" s="30"/>
      <c r="H50" s="29"/>
      <c r="I50" s="29"/>
      <c r="J50" s="30"/>
      <c r="K50" s="30"/>
      <c r="L50" s="183"/>
      <c r="M50" s="183"/>
      <c r="N50" s="183"/>
      <c r="O50" s="183"/>
      <c r="P50" s="183"/>
      <c r="Q50" s="183"/>
      <c r="R50" s="183"/>
      <c r="S50" s="183"/>
      <c r="T50" s="183"/>
      <c r="U50" s="183"/>
      <c r="V50" s="183"/>
      <c r="W50" s="183"/>
      <c r="X50" s="183"/>
      <c r="Y50" s="184"/>
      <c r="Z50" s="192" t="s">
        <v>240</v>
      </c>
      <c r="AA50" s="193">
        <v>1</v>
      </c>
      <c r="AB50" s="194">
        <v>0</v>
      </c>
      <c r="AC50" s="193">
        <v>0</v>
      </c>
    </row>
    <row r="51" spans="1:29" ht="16.5" x14ac:dyDescent="0.25">
      <c r="A51" s="29"/>
      <c r="B51" s="29"/>
      <c r="C51" s="200" t="s">
        <v>241</v>
      </c>
      <c r="D51" s="30"/>
      <c r="E51" s="30"/>
      <c r="F51" s="30"/>
      <c r="G51" s="30"/>
      <c r="H51" s="29"/>
      <c r="I51" s="29"/>
      <c r="J51" s="30"/>
      <c r="K51" s="30"/>
      <c r="L51" s="183"/>
      <c r="M51" s="183"/>
      <c r="N51" s="183"/>
      <c r="O51" s="183"/>
      <c r="P51" s="183"/>
      <c r="Q51" s="183"/>
      <c r="R51" s="183"/>
      <c r="S51" s="183"/>
      <c r="T51" s="183"/>
      <c r="U51" s="183"/>
      <c r="V51" s="183"/>
      <c r="W51" s="183"/>
      <c r="X51" s="183"/>
      <c r="Y51" s="184"/>
      <c r="Z51" s="201"/>
      <c r="AA51" s="193"/>
      <c r="AB51" s="194"/>
      <c r="AC51" s="193"/>
    </row>
    <row r="52" spans="1:29" ht="15.75" x14ac:dyDescent="0.25">
      <c r="A52" s="29"/>
      <c r="B52" s="29"/>
      <c r="C52" s="29"/>
      <c r="D52" s="30"/>
      <c r="E52" s="30"/>
      <c r="F52" s="30"/>
      <c r="G52" s="30"/>
      <c r="H52" s="29"/>
      <c r="I52" s="29"/>
      <c r="J52" s="30"/>
      <c r="K52" s="30"/>
      <c r="L52" s="183"/>
      <c r="M52" s="183"/>
      <c r="N52" s="183"/>
      <c r="O52" s="183"/>
      <c r="P52" s="183"/>
      <c r="Q52" s="183"/>
      <c r="R52" s="183"/>
      <c r="S52" s="183"/>
      <c r="T52" s="183"/>
      <c r="U52" s="183"/>
      <c r="V52" s="183"/>
      <c r="W52" s="183"/>
      <c r="X52" s="183"/>
      <c r="Y52" s="184"/>
      <c r="Z52" s="192" t="s">
        <v>242</v>
      </c>
      <c r="AA52" s="193">
        <v>1</v>
      </c>
      <c r="AB52" s="194">
        <f>ASM1_i_XB</f>
        <v>8.5999999999999993E-2</v>
      </c>
      <c r="AC52" s="193">
        <v>0</v>
      </c>
    </row>
    <row r="53" spans="1:29" ht="15.75" x14ac:dyDescent="0.25">
      <c r="A53" s="29"/>
      <c r="B53" s="29"/>
      <c r="C53" s="29"/>
      <c r="D53" s="30"/>
      <c r="E53" s="30"/>
      <c r="F53" s="30"/>
      <c r="G53" s="30"/>
      <c r="H53" s="29"/>
      <c r="I53" s="29"/>
      <c r="J53" s="30"/>
      <c r="K53" s="30"/>
      <c r="L53" s="183"/>
      <c r="M53" s="183"/>
      <c r="N53" s="183"/>
      <c r="O53" s="183"/>
      <c r="P53" s="183"/>
      <c r="Q53" s="183"/>
      <c r="R53" s="183"/>
      <c r="S53" s="183"/>
      <c r="T53" s="183"/>
      <c r="U53" s="183"/>
      <c r="V53" s="183"/>
      <c r="W53" s="183"/>
      <c r="X53" s="183"/>
      <c r="Y53" s="184"/>
      <c r="Z53" s="192" t="s">
        <v>243</v>
      </c>
      <c r="AA53" s="193">
        <v>1</v>
      </c>
      <c r="AB53" s="194">
        <f>ASM1_i_XB</f>
        <v>8.5999999999999993E-2</v>
      </c>
      <c r="AC53" s="193">
        <v>0</v>
      </c>
    </row>
    <row r="54" spans="1:29" ht="15.75" x14ac:dyDescent="0.25">
      <c r="A54" s="29"/>
      <c r="B54" s="29"/>
      <c r="C54" s="29"/>
      <c r="D54" s="30"/>
      <c r="E54" s="30"/>
      <c r="F54" s="30"/>
      <c r="G54" s="30"/>
      <c r="H54" s="29"/>
      <c r="I54" s="29"/>
      <c r="J54" s="30"/>
      <c r="K54" s="30"/>
      <c r="L54" s="183"/>
      <c r="M54" s="183"/>
      <c r="N54" s="183"/>
      <c r="O54" s="183"/>
      <c r="P54" s="183"/>
      <c r="Q54" s="183"/>
      <c r="R54" s="183"/>
      <c r="S54" s="183"/>
      <c r="T54" s="183"/>
      <c r="U54" s="183"/>
      <c r="V54" s="183"/>
      <c r="W54" s="183"/>
      <c r="X54" s="183"/>
      <c r="Y54" s="184"/>
      <c r="Z54" s="192" t="s">
        <v>244</v>
      </c>
      <c r="AA54" s="193">
        <v>1</v>
      </c>
      <c r="AB54" s="194">
        <f>ASM1_i_XP</f>
        <v>0.06</v>
      </c>
      <c r="AC54" s="193">
        <v>0</v>
      </c>
    </row>
    <row r="55" spans="1:29" ht="15.75" x14ac:dyDescent="0.25">
      <c r="A55" s="29"/>
      <c r="B55" s="29"/>
      <c r="C55" s="29"/>
      <c r="D55" s="30"/>
      <c r="E55" s="30"/>
      <c r="F55" s="30"/>
      <c r="G55" s="30"/>
      <c r="H55" s="29"/>
      <c r="I55" s="29"/>
      <c r="J55" s="30"/>
      <c r="K55" s="30"/>
      <c r="L55" s="183"/>
      <c r="M55" s="183"/>
      <c r="N55" s="183"/>
      <c r="O55" s="183"/>
      <c r="P55" s="183"/>
      <c r="Q55" s="183"/>
      <c r="R55" s="183"/>
      <c r="S55" s="183"/>
      <c r="T55" s="183"/>
      <c r="U55" s="183"/>
      <c r="V55" s="183"/>
      <c r="W55" s="183"/>
      <c r="X55" s="183"/>
      <c r="Y55" s="184"/>
      <c r="Z55" s="192" t="s">
        <v>245</v>
      </c>
      <c r="AA55" s="193">
        <v>-1</v>
      </c>
      <c r="AB55" s="194">
        <v>0</v>
      </c>
      <c r="AC55" s="193">
        <v>0</v>
      </c>
    </row>
    <row r="56" spans="1:29" ht="15.75" x14ac:dyDescent="0.25">
      <c r="A56" s="29"/>
      <c r="B56" s="29"/>
      <c r="C56" s="29"/>
      <c r="D56" s="30"/>
      <c r="E56" s="30"/>
      <c r="F56" s="30"/>
      <c r="G56" s="30"/>
      <c r="H56" s="29"/>
      <c r="I56" s="29"/>
      <c r="J56" s="30"/>
      <c r="K56" s="30"/>
      <c r="L56" s="183"/>
      <c r="M56" s="183"/>
      <c r="N56" s="183"/>
      <c r="O56" s="183"/>
      <c r="P56" s="183"/>
      <c r="Q56" s="183"/>
      <c r="R56" s="183"/>
      <c r="S56" s="183"/>
      <c r="T56" s="183"/>
      <c r="U56" s="183"/>
      <c r="V56" s="183"/>
      <c r="W56" s="183"/>
      <c r="X56" s="183"/>
      <c r="Y56" s="184"/>
      <c r="Z56" s="192" t="s">
        <v>246</v>
      </c>
      <c r="AA56" s="202">
        <f>ASM1_i_COD_NOx</f>
        <v>-4.5714285714285712</v>
      </c>
      <c r="AB56" s="194">
        <v>1</v>
      </c>
      <c r="AC56" s="203">
        <f>ASM1_i_Charge_NOx</f>
        <v>-7.1428571428571425E-2</v>
      </c>
    </row>
    <row r="57" spans="1:29" ht="15.75" x14ac:dyDescent="0.25">
      <c r="A57" s="29"/>
      <c r="B57" s="29"/>
      <c r="C57" s="29"/>
      <c r="D57" s="30"/>
      <c r="E57" s="30"/>
      <c r="F57" s="30"/>
      <c r="G57" s="30"/>
      <c r="H57" s="29"/>
      <c r="I57" s="29"/>
      <c r="J57" s="30"/>
      <c r="K57" s="30"/>
      <c r="L57" s="183"/>
      <c r="M57" s="183"/>
      <c r="N57" s="183"/>
      <c r="O57" s="183"/>
      <c r="P57" s="183"/>
      <c r="Q57" s="183"/>
      <c r="R57" s="183"/>
      <c r="S57" s="183"/>
      <c r="T57" s="183"/>
      <c r="U57" s="183"/>
      <c r="V57" s="183"/>
      <c r="W57" s="183"/>
      <c r="X57" s="183"/>
      <c r="Y57" s="184"/>
      <c r="Z57" s="192" t="s">
        <v>247</v>
      </c>
      <c r="AA57" s="193">
        <v>0</v>
      </c>
      <c r="AB57" s="194">
        <v>1</v>
      </c>
      <c r="AC57" s="203">
        <f>ASM1_i_Charge_NHx</f>
        <v>7.1428571428571425E-2</v>
      </c>
    </row>
    <row r="58" spans="1:29" ht="15.75" x14ac:dyDescent="0.25">
      <c r="A58" s="29"/>
      <c r="B58" s="29"/>
      <c r="C58" s="29"/>
      <c r="D58" s="30"/>
      <c r="E58" s="30"/>
      <c r="F58" s="30"/>
      <c r="G58" s="30"/>
      <c r="H58" s="29"/>
      <c r="I58" s="29"/>
      <c r="J58" s="30"/>
      <c r="K58" s="30"/>
      <c r="L58" s="183"/>
      <c r="M58" s="183"/>
      <c r="N58" s="183"/>
      <c r="O58" s="183"/>
      <c r="P58" s="183"/>
      <c r="Q58" s="183"/>
      <c r="R58" s="183"/>
      <c r="S58" s="183"/>
      <c r="T58" s="183"/>
      <c r="U58" s="183"/>
      <c r="V58" s="183"/>
      <c r="W58" s="183"/>
      <c r="X58" s="183"/>
      <c r="Y58" s="184"/>
      <c r="Z58" s="192" t="s">
        <v>248</v>
      </c>
      <c r="AA58" s="193">
        <v>0</v>
      </c>
      <c r="AB58" s="194">
        <v>1</v>
      </c>
      <c r="AC58" s="193">
        <v>0</v>
      </c>
    </row>
    <row r="59" spans="1:29" ht="15.75" x14ac:dyDescent="0.25">
      <c r="A59" s="29"/>
      <c r="B59" s="29"/>
      <c r="C59" s="29"/>
      <c r="D59" s="30"/>
      <c r="E59" s="30"/>
      <c r="F59" s="30"/>
      <c r="G59" s="30"/>
      <c r="H59" s="29"/>
      <c r="I59" s="29"/>
      <c r="J59" s="183"/>
      <c r="K59" s="183"/>
      <c r="L59" s="204"/>
      <c r="M59" s="204"/>
      <c r="N59" s="204"/>
      <c r="O59" s="204"/>
      <c r="P59" s="204"/>
      <c r="Q59" s="204"/>
      <c r="R59" s="204"/>
      <c r="S59" s="204"/>
      <c r="T59" s="204"/>
      <c r="U59" s="204"/>
      <c r="V59" s="204"/>
      <c r="W59" s="204"/>
      <c r="X59" s="204"/>
      <c r="Y59" s="184"/>
      <c r="Z59" s="192" t="s">
        <v>249</v>
      </c>
      <c r="AA59" s="193">
        <v>0</v>
      </c>
      <c r="AB59" s="194">
        <v>1</v>
      </c>
      <c r="AC59" s="193">
        <v>0</v>
      </c>
    </row>
    <row r="60" spans="1:29" ht="15.75" x14ac:dyDescent="0.25">
      <c r="A60" s="29"/>
      <c r="B60" s="29"/>
      <c r="C60" s="29"/>
      <c r="D60" s="30"/>
      <c r="E60" s="30"/>
      <c r="F60" s="30"/>
      <c r="G60" s="30"/>
      <c r="H60" s="29"/>
      <c r="I60" s="29"/>
      <c r="J60" s="30"/>
      <c r="K60" s="30"/>
      <c r="L60" s="183"/>
      <c r="M60" s="183"/>
      <c r="N60" s="183"/>
      <c r="O60" s="183"/>
      <c r="P60" s="183"/>
      <c r="Q60" s="183"/>
      <c r="R60" s="183"/>
      <c r="S60" s="183"/>
      <c r="T60" s="183"/>
      <c r="U60" s="183"/>
      <c r="V60" s="183"/>
      <c r="W60" s="183"/>
      <c r="X60" s="183"/>
      <c r="Y60" s="184"/>
      <c r="Z60" s="192" t="s">
        <v>250</v>
      </c>
      <c r="AA60" s="193">
        <v>0</v>
      </c>
      <c r="AB60" s="194">
        <v>0</v>
      </c>
      <c r="AC60" s="193">
        <v>-1</v>
      </c>
    </row>
    <row r="61" spans="1:29" ht="16.5" thickBot="1" x14ac:dyDescent="0.3">
      <c r="A61" s="29"/>
      <c r="B61" s="29"/>
      <c r="C61" s="29"/>
      <c r="D61" s="30"/>
      <c r="E61" s="30"/>
      <c r="F61" s="30"/>
      <c r="G61" s="30"/>
      <c r="H61" s="29"/>
      <c r="I61" s="29"/>
      <c r="J61" s="205"/>
      <c r="K61" s="205"/>
      <c r="L61" s="205"/>
      <c r="M61" s="205"/>
      <c r="N61" s="205"/>
      <c r="O61" s="205"/>
      <c r="P61" s="205"/>
      <c r="Q61" s="205"/>
      <c r="R61" s="205"/>
      <c r="S61" s="205"/>
      <c r="T61" s="205"/>
      <c r="U61" s="205"/>
      <c r="V61" s="205"/>
      <c r="W61" s="205"/>
      <c r="X61" s="205"/>
      <c r="Y61" s="205"/>
      <c r="Z61" s="206" t="s">
        <v>251</v>
      </c>
      <c r="AA61" s="207">
        <f>ASM1_i_COD_N2</f>
        <v>-1.7142857142857142</v>
      </c>
      <c r="AB61" s="208">
        <v>1</v>
      </c>
      <c r="AC61" s="209">
        <v>0</v>
      </c>
    </row>
    <row r="62" spans="1:29" ht="16.5" thickBot="1" x14ac:dyDescent="0.3">
      <c r="A62" s="29"/>
      <c r="B62" s="29"/>
      <c r="C62" s="29"/>
      <c r="D62" s="30"/>
      <c r="E62" s="30"/>
      <c r="F62" s="30"/>
      <c r="G62" s="30"/>
      <c r="H62" s="29"/>
      <c r="I62" s="29"/>
      <c r="J62" s="210"/>
      <c r="K62" s="211"/>
      <c r="L62" s="212" t="s">
        <v>231</v>
      </c>
      <c r="M62" s="212" t="s">
        <v>234</v>
      </c>
      <c r="N62" s="212" t="s">
        <v>239</v>
      </c>
      <c r="O62" s="212" t="s">
        <v>240</v>
      </c>
      <c r="P62" s="212" t="s">
        <v>242</v>
      </c>
      <c r="Q62" s="212" t="s">
        <v>243</v>
      </c>
      <c r="R62" s="212" t="s">
        <v>244</v>
      </c>
      <c r="S62" s="212" t="s">
        <v>245</v>
      </c>
      <c r="T62" s="212" t="s">
        <v>246</v>
      </c>
      <c r="U62" s="212" t="s">
        <v>247</v>
      </c>
      <c r="V62" s="212" t="s">
        <v>248</v>
      </c>
      <c r="W62" s="212" t="s">
        <v>249</v>
      </c>
      <c r="X62" s="212" t="s">
        <v>250</v>
      </c>
      <c r="Y62" s="213" t="s">
        <v>251</v>
      </c>
      <c r="Z62" s="184"/>
      <c r="AA62" s="184"/>
      <c r="AB62" s="184"/>
      <c r="AC62" s="184"/>
    </row>
    <row r="63" spans="1:29" ht="30" x14ac:dyDescent="0.25">
      <c r="A63" s="29"/>
      <c r="B63" s="29"/>
      <c r="C63" s="214"/>
      <c r="D63" s="215"/>
      <c r="E63" s="30"/>
      <c r="F63" s="30"/>
      <c r="G63" s="30"/>
      <c r="H63" s="29"/>
      <c r="I63" s="29"/>
      <c r="J63" s="216">
        <v>1</v>
      </c>
      <c r="K63" s="217" t="s">
        <v>33</v>
      </c>
      <c r="L63" s="218"/>
      <c r="M63" s="218">
        <f>-1/ASM1_Y_H</f>
        <v>-1.4925373134328357</v>
      </c>
      <c r="N63" s="218"/>
      <c r="O63" s="218"/>
      <c r="P63" s="218">
        <v>1</v>
      </c>
      <c r="Q63" s="218"/>
      <c r="R63" s="218"/>
      <c r="S63" s="218">
        <f>-(1-ASM1_Y_H)/ASM1_Y_H</f>
        <v>-0.49253731343283574</v>
      </c>
      <c r="T63" s="218"/>
      <c r="U63" s="218">
        <f>-ASM1_i_XB</f>
        <v>-8.5999999999999993E-2</v>
      </c>
      <c r="V63" s="218"/>
      <c r="W63" s="218"/>
      <c r="X63" s="218">
        <f>-ASM1_i_XB*ASM1_i_Charge_NHx</f>
        <v>-6.1428571428571417E-3</v>
      </c>
      <c r="Y63" s="219"/>
      <c r="Z63" s="184"/>
      <c r="AA63" s="220">
        <f t="shared" ref="AA63:AA70" si="0">L63*$AA$47+M63*$AA$48+N63*$AA$49+O63*$AA$50+P63*$AA$52+Q63*$AA$53+R63*$AA$54+S63*$AA$55+T63*$AA$56+U63*$AA$57+V63*$AA$58+W63*$AA$59+X63*$AA$60+Y63*$AA$61</f>
        <v>5.5511151231257827E-17</v>
      </c>
      <c r="AB63" s="221">
        <f t="shared" ref="AB63:AB70" si="1">L63*$AB$47+M63*$AB$48+N63*$AB$49+O63*$AB$50+P63*$AB$52+Q63*$AB$53+R63*$AB$54+S63*$AB$55+T63*$AB$56+U63*$AB$57+V63*$AB$58+W63*$AB$59+X63*$AB$60+Y63*$AB$61</f>
        <v>0</v>
      </c>
      <c r="AC63" s="222">
        <f t="shared" ref="AC63:AC70" si="2">T63*$AC$56+U63*$AC$57+X63*$AC$60</f>
        <v>0</v>
      </c>
    </row>
    <row r="64" spans="1:29" ht="30" x14ac:dyDescent="0.25">
      <c r="A64" s="29"/>
      <c r="B64" s="29"/>
      <c r="C64" s="214"/>
      <c r="D64" s="215"/>
      <c r="E64" s="30"/>
      <c r="F64" s="30"/>
      <c r="G64" s="30"/>
      <c r="H64" s="29"/>
      <c r="I64" s="29"/>
      <c r="J64" s="216">
        <v>2</v>
      </c>
      <c r="K64" s="217" t="s">
        <v>42</v>
      </c>
      <c r="L64" s="218"/>
      <c r="M64" s="218">
        <f>-1/ASM1_Y_H</f>
        <v>-1.4925373134328357</v>
      </c>
      <c r="N64" s="218"/>
      <c r="O64" s="218"/>
      <c r="P64" s="218">
        <v>1</v>
      </c>
      <c r="Q64" s="218"/>
      <c r="R64" s="218"/>
      <c r="S64" s="218"/>
      <c r="T64" s="218">
        <f>-(1-ASM1_Y_H)/(ASM1_i_NOx.N2*ASM1_Y_H)</f>
        <v>-0.17238805970149251</v>
      </c>
      <c r="U64" s="218">
        <f>-ASM1_i_XB</f>
        <v>-8.5999999999999993E-2</v>
      </c>
      <c r="V64" s="218"/>
      <c r="W64" s="218"/>
      <c r="X64" s="218">
        <f>-(1-ASM1_Y_H)/(ASM1_i_NOx.N2*ASM1_Y_H)*ASM1_i_Charge_NOx-ASM1_i_XB*ASM1_i_Charge_NHx</f>
        <v>6.1705756929637508E-3</v>
      </c>
      <c r="Y64" s="219">
        <f>(1-ASM1_Y_H)/(ASM1_i_NOx.N2*ASM1_Y_H)</f>
        <v>0.17238805970149251</v>
      </c>
      <c r="Z64" s="184"/>
      <c r="AA64" s="223">
        <f t="shared" si="0"/>
        <v>0</v>
      </c>
      <c r="AB64" s="224">
        <f t="shared" si="1"/>
        <v>0</v>
      </c>
      <c r="AC64" s="225">
        <f t="shared" si="2"/>
        <v>0</v>
      </c>
    </row>
    <row r="65" spans="1:29" ht="30" x14ac:dyDescent="0.25">
      <c r="A65" s="29"/>
      <c r="B65" s="29"/>
      <c r="C65" s="226"/>
      <c r="D65" s="215"/>
      <c r="E65" s="30"/>
      <c r="F65" s="30"/>
      <c r="G65" s="30"/>
      <c r="H65" s="29"/>
      <c r="I65" s="29"/>
      <c r="J65" s="216">
        <v>3</v>
      </c>
      <c r="K65" s="217" t="s">
        <v>51</v>
      </c>
      <c r="L65" s="218"/>
      <c r="M65" s="218"/>
      <c r="N65" s="218"/>
      <c r="O65" s="218"/>
      <c r="P65" s="218"/>
      <c r="Q65" s="218">
        <v>1</v>
      </c>
      <c r="R65" s="218"/>
      <c r="S65" s="218">
        <f>-(-ASM1_i_COD_NOx-ASM1_Y_A)/ASM1_Y_A</f>
        <v>-18.047619047619047</v>
      </c>
      <c r="T65" s="218">
        <f>1/ASM1_Y_A</f>
        <v>4.166666666666667</v>
      </c>
      <c r="U65" s="218">
        <f>-ASM1_i_XB-1/ASM1_Y_A</f>
        <v>-4.2526666666666673</v>
      </c>
      <c r="V65" s="218"/>
      <c r="W65" s="218"/>
      <c r="X65" s="218">
        <f>-(ASM1_i_XB+1/ASM1_Y_A)*ASM1_i_Charge_NHx+(1/ASM1_Y_A)*ASM1_i_Charge_NOx</f>
        <v>-0.60138095238095235</v>
      </c>
      <c r="Y65" s="219"/>
      <c r="Z65" s="184"/>
      <c r="AA65" s="223">
        <f t="shared" si="0"/>
        <v>0</v>
      </c>
      <c r="AB65" s="224">
        <f t="shared" si="1"/>
        <v>0</v>
      </c>
      <c r="AC65" s="225">
        <f t="shared" si="2"/>
        <v>0</v>
      </c>
    </row>
    <row r="66" spans="1:29" x14ac:dyDescent="0.25">
      <c r="A66" s="29"/>
      <c r="B66" s="29"/>
      <c r="C66" s="226"/>
      <c r="D66" s="215"/>
      <c r="E66" s="30"/>
      <c r="F66" s="30"/>
      <c r="G66" s="30"/>
      <c r="H66" s="29"/>
      <c r="I66" s="29"/>
      <c r="J66" s="227">
        <v>4</v>
      </c>
      <c r="K66" s="228" t="s">
        <v>60</v>
      </c>
      <c r="L66" s="218"/>
      <c r="M66" s="218"/>
      <c r="N66" s="218"/>
      <c r="O66" s="218">
        <f>1-ASM1_f_P</f>
        <v>0.92</v>
      </c>
      <c r="P66" s="218">
        <v>-1</v>
      </c>
      <c r="Q66" s="218"/>
      <c r="R66" s="218">
        <f>ASM1_f_P</f>
        <v>0.08</v>
      </c>
      <c r="S66" s="218"/>
      <c r="T66" s="218"/>
      <c r="U66" s="218"/>
      <c r="V66" s="218"/>
      <c r="W66" s="218">
        <f>ASM1_i_XB-ASM1_f_P*ASM1_i_XP</f>
        <v>8.1199999999999994E-2</v>
      </c>
      <c r="X66" s="218"/>
      <c r="Y66" s="219"/>
      <c r="Z66" s="184"/>
      <c r="AA66" s="223">
        <f t="shared" si="0"/>
        <v>4.163336342344337E-17</v>
      </c>
      <c r="AB66" s="224">
        <f t="shared" si="1"/>
        <v>0</v>
      </c>
      <c r="AC66" s="225">
        <f t="shared" si="2"/>
        <v>0</v>
      </c>
    </row>
    <row r="67" spans="1:29" x14ac:dyDescent="0.25">
      <c r="A67" s="29"/>
      <c r="B67" s="29"/>
      <c r="C67" s="226"/>
      <c r="D67" s="215"/>
      <c r="E67" s="30"/>
      <c r="F67" s="30"/>
      <c r="G67" s="30"/>
      <c r="H67" s="29"/>
      <c r="I67" s="29"/>
      <c r="J67" s="216">
        <v>5</v>
      </c>
      <c r="K67" s="217" t="s">
        <v>68</v>
      </c>
      <c r="L67" s="218"/>
      <c r="M67" s="218"/>
      <c r="N67" s="218"/>
      <c r="O67" s="218">
        <f>1-ASM1_f_P</f>
        <v>0.92</v>
      </c>
      <c r="P67" s="218"/>
      <c r="Q67" s="218">
        <v>-1</v>
      </c>
      <c r="R67" s="218">
        <f>ASM1_f_P</f>
        <v>0.08</v>
      </c>
      <c r="S67" s="218"/>
      <c r="T67" s="218"/>
      <c r="U67" s="218"/>
      <c r="V67" s="218"/>
      <c r="W67" s="218">
        <f>ASM1_i_XB-ASM1_f_P*ASM1_i_XP</f>
        <v>8.1199999999999994E-2</v>
      </c>
      <c r="X67" s="218"/>
      <c r="Y67" s="219"/>
      <c r="Z67" s="184"/>
      <c r="AA67" s="223">
        <f t="shared" si="0"/>
        <v>4.163336342344337E-17</v>
      </c>
      <c r="AB67" s="224">
        <f t="shared" si="1"/>
        <v>0</v>
      </c>
      <c r="AC67" s="225">
        <f t="shared" si="2"/>
        <v>0</v>
      </c>
    </row>
    <row r="68" spans="1:29" ht="30" x14ac:dyDescent="0.25">
      <c r="A68" s="29"/>
      <c r="B68" s="29"/>
      <c r="C68" s="229"/>
      <c r="D68" s="230"/>
      <c r="E68" s="30"/>
      <c r="F68" s="30"/>
      <c r="G68" s="30"/>
      <c r="H68" s="29"/>
      <c r="I68" s="29"/>
      <c r="J68" s="216">
        <v>6</v>
      </c>
      <c r="K68" s="217" t="s">
        <v>73</v>
      </c>
      <c r="L68" s="218"/>
      <c r="M68" s="218"/>
      <c r="N68" s="218"/>
      <c r="O68" s="218"/>
      <c r="P68" s="218"/>
      <c r="Q68" s="218"/>
      <c r="R68" s="218"/>
      <c r="S68" s="218"/>
      <c r="T68" s="218"/>
      <c r="U68" s="218">
        <v>1</v>
      </c>
      <c r="V68" s="218">
        <v>-1</v>
      </c>
      <c r="W68" s="218"/>
      <c r="X68" s="218">
        <f>ASM1_i_Charge_NHx</f>
        <v>7.1428571428571425E-2</v>
      </c>
      <c r="Y68" s="219"/>
      <c r="Z68" s="184"/>
      <c r="AA68" s="223">
        <f t="shared" si="0"/>
        <v>0</v>
      </c>
      <c r="AB68" s="224">
        <f t="shared" si="1"/>
        <v>0</v>
      </c>
      <c r="AC68" s="225">
        <f t="shared" si="2"/>
        <v>0</v>
      </c>
    </row>
    <row r="69" spans="1:29" ht="30" x14ac:dyDescent="0.25">
      <c r="A69" s="29"/>
      <c r="B69" s="29"/>
      <c r="C69" s="229"/>
      <c r="D69" s="230"/>
      <c r="E69" s="30"/>
      <c r="F69" s="30"/>
      <c r="G69" s="30"/>
      <c r="H69" s="29"/>
      <c r="I69" s="29"/>
      <c r="J69" s="216">
        <v>7</v>
      </c>
      <c r="K69" s="217" t="s">
        <v>80</v>
      </c>
      <c r="L69" s="218"/>
      <c r="M69" s="218">
        <v>1</v>
      </c>
      <c r="N69" s="218"/>
      <c r="O69" s="218">
        <v>-1</v>
      </c>
      <c r="P69" s="218"/>
      <c r="Q69" s="218"/>
      <c r="R69" s="218"/>
      <c r="S69" s="218"/>
      <c r="T69" s="218"/>
      <c r="U69" s="218"/>
      <c r="V69" s="218"/>
      <c r="W69" s="218"/>
      <c r="X69" s="218"/>
      <c r="Y69" s="219"/>
      <c r="Z69" s="184"/>
      <c r="AA69" s="223">
        <f t="shared" si="0"/>
        <v>0</v>
      </c>
      <c r="AB69" s="224">
        <f t="shared" si="1"/>
        <v>0</v>
      </c>
      <c r="AC69" s="225">
        <f t="shared" si="2"/>
        <v>0</v>
      </c>
    </row>
    <row r="70" spans="1:29" ht="30.75" thickBot="1" x14ac:dyDescent="0.3">
      <c r="A70" s="29"/>
      <c r="B70" s="29"/>
      <c r="C70" s="229"/>
      <c r="D70" s="230"/>
      <c r="E70" s="30"/>
      <c r="F70" s="30"/>
      <c r="G70" s="30"/>
      <c r="H70" s="29"/>
      <c r="I70" s="29"/>
      <c r="J70" s="231">
        <v>8</v>
      </c>
      <c r="K70" s="232" t="s">
        <v>85</v>
      </c>
      <c r="L70" s="233"/>
      <c r="M70" s="233"/>
      <c r="N70" s="233"/>
      <c r="O70" s="233"/>
      <c r="P70" s="233"/>
      <c r="Q70" s="233"/>
      <c r="R70" s="233"/>
      <c r="S70" s="233"/>
      <c r="T70" s="233"/>
      <c r="U70" s="233"/>
      <c r="V70" s="233">
        <v>1</v>
      </c>
      <c r="W70" s="233">
        <v>-1</v>
      </c>
      <c r="X70" s="233"/>
      <c r="Y70" s="234"/>
      <c r="Z70" s="184"/>
      <c r="AA70" s="235">
        <f t="shared" si="0"/>
        <v>0</v>
      </c>
      <c r="AB70" s="236">
        <f t="shared" si="1"/>
        <v>0</v>
      </c>
      <c r="AC70" s="237">
        <f t="shared" si="2"/>
        <v>0</v>
      </c>
    </row>
    <row r="71" spans="1:29" x14ac:dyDescent="0.25">
      <c r="A71" s="29"/>
      <c r="B71" s="29"/>
      <c r="C71" s="229"/>
      <c r="D71" s="230"/>
      <c r="E71" s="30"/>
      <c r="F71" s="30"/>
      <c r="G71" s="30"/>
      <c r="H71" s="29"/>
      <c r="I71" s="29"/>
      <c r="J71" s="30"/>
      <c r="K71" s="30"/>
      <c r="L71" s="238"/>
      <c r="M71" s="238"/>
      <c r="N71" s="238"/>
      <c r="O71" s="238"/>
      <c r="P71" s="238"/>
      <c r="Q71" s="238"/>
      <c r="R71" s="238"/>
      <c r="S71" s="238"/>
      <c r="T71" s="238"/>
      <c r="U71" s="238"/>
      <c r="V71" s="238"/>
      <c r="W71" s="238"/>
      <c r="X71" s="238"/>
      <c r="Y71" s="239"/>
      <c r="Z71" s="31"/>
      <c r="AA71" s="31"/>
      <c r="AB71" s="31"/>
      <c r="AC71" s="31"/>
    </row>
    <row r="72" spans="1:29" ht="15.75" thickBot="1" x14ac:dyDescent="0.3">
      <c r="A72" s="29"/>
      <c r="B72" s="29"/>
      <c r="C72" s="229"/>
      <c r="D72" s="230"/>
      <c r="E72" s="30"/>
      <c r="F72" s="30"/>
      <c r="G72" s="30"/>
      <c r="H72" s="29"/>
      <c r="I72" s="29"/>
      <c r="J72" s="30"/>
      <c r="K72" s="30"/>
      <c r="L72" s="238"/>
      <c r="M72" s="238"/>
      <c r="N72" s="238"/>
      <c r="O72" s="238"/>
      <c r="P72" s="238"/>
      <c r="Q72" s="238"/>
      <c r="R72" s="238"/>
      <c r="S72" s="238"/>
      <c r="T72" s="238"/>
      <c r="U72" s="238"/>
      <c r="V72" s="238"/>
      <c r="W72" s="238"/>
      <c r="X72" s="238"/>
      <c r="Y72" s="239"/>
      <c r="Z72" s="31"/>
      <c r="AA72" s="31"/>
      <c r="AB72" s="31"/>
      <c r="AC72" s="31"/>
    </row>
    <row r="73" spans="1:29" ht="30.75" thickBot="1" x14ac:dyDescent="0.3">
      <c r="A73" s="29"/>
      <c r="B73" s="29"/>
      <c r="C73" s="240"/>
      <c r="D73" s="230"/>
      <c r="E73" s="30"/>
      <c r="F73" s="30"/>
      <c r="G73" s="30"/>
      <c r="H73" s="29"/>
      <c r="I73" s="29"/>
      <c r="J73" s="35" t="s">
        <v>252</v>
      </c>
      <c r="K73" s="36"/>
      <c r="L73" s="36"/>
      <c r="M73" s="36"/>
      <c r="N73" s="36"/>
      <c r="O73" s="36"/>
      <c r="P73" s="36"/>
      <c r="Q73" s="36"/>
      <c r="R73" s="36"/>
      <c r="S73" s="36"/>
      <c r="T73" s="36"/>
      <c r="U73" s="36"/>
      <c r="V73" s="36"/>
      <c r="W73" s="36"/>
      <c r="X73" s="36"/>
      <c r="Y73" s="36"/>
      <c r="Z73" s="36"/>
      <c r="AA73" s="36"/>
      <c r="AB73" s="36"/>
      <c r="AC73" s="37"/>
    </row>
    <row r="74" spans="1:29" x14ac:dyDescent="0.25">
      <c r="A74" s="29"/>
      <c r="B74" s="29"/>
      <c r="C74" s="240"/>
      <c r="D74" s="230"/>
      <c r="E74" s="30"/>
      <c r="F74" s="30"/>
      <c r="G74" s="30"/>
      <c r="H74" s="29"/>
      <c r="I74" s="29"/>
      <c r="J74" s="30"/>
      <c r="K74" s="30"/>
      <c r="L74" s="30"/>
      <c r="M74" s="30"/>
      <c r="N74" s="30"/>
      <c r="O74" s="30"/>
      <c r="P74" s="30"/>
      <c r="Q74" s="30"/>
      <c r="R74" s="30"/>
      <c r="S74" s="30"/>
      <c r="T74" s="30"/>
      <c r="U74" s="30"/>
      <c r="V74" s="30"/>
      <c r="W74" s="30"/>
      <c r="X74" s="30"/>
      <c r="Y74" s="31"/>
      <c r="Z74" s="31"/>
      <c r="AA74" s="31"/>
      <c r="AB74" s="31"/>
      <c r="AC74" s="31"/>
    </row>
    <row r="75" spans="1:29" ht="18.75" thickBot="1" x14ac:dyDescent="0.3">
      <c r="A75" s="29"/>
      <c r="B75" s="29"/>
      <c r="C75" s="240"/>
      <c r="D75" s="230"/>
      <c r="E75" s="30"/>
      <c r="F75" s="30"/>
      <c r="G75" s="30"/>
      <c r="H75" s="29"/>
      <c r="I75" s="29"/>
      <c r="J75" s="30"/>
      <c r="K75" s="30"/>
      <c r="L75" s="30"/>
      <c r="M75" s="241" t="s">
        <v>253</v>
      </c>
      <c r="N75" s="241"/>
      <c r="O75" s="241"/>
      <c r="P75" s="241"/>
      <c r="Q75" s="241"/>
      <c r="R75" s="241"/>
      <c r="S75" s="241" t="s">
        <v>254</v>
      </c>
      <c r="T75" s="241"/>
      <c r="U75" s="241"/>
      <c r="V75" s="241"/>
      <c r="W75" s="241"/>
      <c r="X75" s="30"/>
      <c r="Y75" s="31"/>
      <c r="Z75" s="31"/>
      <c r="AA75" s="31"/>
      <c r="AB75" s="31"/>
      <c r="AC75" s="31"/>
    </row>
    <row r="76" spans="1:29" ht="15.75" thickBot="1" x14ac:dyDescent="0.3">
      <c r="A76" s="29"/>
      <c r="B76" s="29"/>
      <c r="C76" s="240"/>
      <c r="D76" s="242"/>
      <c r="E76" s="30"/>
      <c r="F76" s="30"/>
      <c r="G76" s="30"/>
      <c r="H76" s="29"/>
      <c r="I76" s="29"/>
      <c r="J76" s="30"/>
      <c r="K76" s="30"/>
      <c r="L76" s="243"/>
      <c r="M76" s="244" t="s">
        <v>255</v>
      </c>
      <c r="N76" s="245"/>
      <c r="O76" s="245"/>
      <c r="P76" s="245"/>
      <c r="Q76" s="245"/>
      <c r="R76" s="245"/>
      <c r="S76" s="245" t="s">
        <v>256</v>
      </c>
      <c r="T76" s="245"/>
      <c r="U76" s="245"/>
      <c r="V76" s="245"/>
      <c r="W76" s="245"/>
      <c r="X76" s="30"/>
      <c r="Y76" s="31"/>
      <c r="Z76" s="31"/>
      <c r="AA76" s="31"/>
      <c r="AB76" s="31"/>
      <c r="AC76" s="31"/>
    </row>
    <row r="77" spans="1:29" ht="15.75" thickBot="1" x14ac:dyDescent="0.3">
      <c r="A77" s="29"/>
      <c r="B77" s="29"/>
      <c r="C77" s="240"/>
      <c r="D77" s="230"/>
      <c r="E77" s="30"/>
      <c r="F77" s="30"/>
      <c r="G77" s="30"/>
      <c r="H77" s="29"/>
      <c r="I77" s="29"/>
      <c r="J77" s="30"/>
      <c r="K77" s="30"/>
      <c r="L77" s="246"/>
      <c r="M77" s="244" t="s">
        <v>257</v>
      </c>
      <c r="N77" s="245"/>
      <c r="O77" s="245"/>
      <c r="P77" s="245"/>
      <c r="Q77" s="245"/>
      <c r="R77" s="245"/>
      <c r="S77" s="245" t="s">
        <v>258</v>
      </c>
      <c r="T77" s="245"/>
      <c r="U77" s="245"/>
      <c r="V77" s="245"/>
      <c r="W77" s="245"/>
      <c r="X77" s="30"/>
      <c r="Y77" s="31"/>
      <c r="Z77" s="31"/>
      <c r="AA77" s="31"/>
      <c r="AB77" s="31"/>
      <c r="AC77" s="31"/>
    </row>
    <row r="78" spans="1:29" ht="15.75" thickBot="1" x14ac:dyDescent="0.3">
      <c r="A78" s="29"/>
      <c r="B78" s="29"/>
      <c r="C78" s="240"/>
      <c r="D78" s="230"/>
      <c r="E78" s="30"/>
      <c r="F78" s="30"/>
      <c r="G78" s="30"/>
      <c r="H78" s="29"/>
      <c r="I78" s="29"/>
      <c r="J78" s="30"/>
      <c r="K78" s="30"/>
      <c r="L78" s="247"/>
      <c r="M78" s="244" t="s">
        <v>259</v>
      </c>
      <c r="N78" s="245"/>
      <c r="O78" s="245"/>
      <c r="P78" s="245"/>
      <c r="Q78" s="245"/>
      <c r="R78" s="245"/>
      <c r="S78" s="245" t="s">
        <v>256</v>
      </c>
      <c r="T78" s="245"/>
      <c r="U78" s="245"/>
      <c r="V78" s="245"/>
      <c r="W78" s="245"/>
      <c r="X78" s="30"/>
      <c r="Y78" s="31"/>
      <c r="Z78" s="31"/>
      <c r="AA78" s="31"/>
      <c r="AB78" s="31"/>
      <c r="AC78" s="31"/>
    </row>
    <row r="79" spans="1:29" ht="15.75" thickBot="1" x14ac:dyDescent="0.3">
      <c r="A79" s="29"/>
      <c r="B79" s="29"/>
      <c r="C79" s="240"/>
      <c r="D79" s="230"/>
      <c r="E79" s="30"/>
      <c r="F79" s="30"/>
      <c r="G79" s="30"/>
      <c r="H79" s="29"/>
      <c r="I79" s="29"/>
      <c r="J79" s="30"/>
      <c r="K79" s="30"/>
      <c r="L79" s="248"/>
      <c r="M79" s="244" t="s">
        <v>260</v>
      </c>
      <c r="N79" s="245"/>
      <c r="O79" s="245"/>
      <c r="P79" s="245"/>
      <c r="Q79" s="245"/>
      <c r="R79" s="245"/>
      <c r="S79" s="245" t="s">
        <v>261</v>
      </c>
      <c r="T79" s="245"/>
      <c r="U79" s="245"/>
      <c r="V79" s="245"/>
      <c r="W79" s="245"/>
      <c r="X79" s="30"/>
      <c r="Y79" s="31"/>
      <c r="Z79" s="31"/>
      <c r="AA79" s="31"/>
      <c r="AB79" s="31"/>
      <c r="AC79" s="31"/>
    </row>
    <row r="80" spans="1:29" ht="15.75" thickBot="1" x14ac:dyDescent="0.3">
      <c r="A80" s="29"/>
      <c r="B80" s="29"/>
      <c r="C80" s="240"/>
      <c r="D80" s="230"/>
      <c r="E80" s="30"/>
      <c r="F80" s="30"/>
      <c r="G80" s="30"/>
      <c r="H80" s="29"/>
      <c r="I80" s="29"/>
      <c r="J80" s="30"/>
      <c r="K80" s="30"/>
      <c r="L80" s="30"/>
      <c r="M80" s="30"/>
      <c r="N80" s="30"/>
      <c r="O80" s="30"/>
      <c r="P80" s="30"/>
      <c r="Q80" s="30"/>
      <c r="R80" s="30"/>
      <c r="S80" s="30"/>
      <c r="T80" s="30"/>
      <c r="U80" s="30"/>
      <c r="V80" s="30"/>
      <c r="W80" s="30"/>
      <c r="X80" s="30"/>
      <c r="Y80" s="31"/>
      <c r="Z80" s="31"/>
      <c r="AA80" s="31"/>
      <c r="AB80" s="31"/>
      <c r="AC80" s="31"/>
    </row>
    <row r="81" spans="1:29" x14ac:dyDescent="0.25">
      <c r="A81" s="29"/>
      <c r="B81" s="29"/>
      <c r="C81" s="240"/>
      <c r="D81" s="230"/>
      <c r="E81" s="30"/>
      <c r="F81" s="30"/>
      <c r="G81" s="30"/>
      <c r="H81" s="29"/>
      <c r="I81" s="29"/>
      <c r="J81" s="30"/>
      <c r="K81" s="249" t="s">
        <v>262</v>
      </c>
      <c r="L81" s="250" t="s">
        <v>263</v>
      </c>
      <c r="M81" s="250" t="s">
        <v>264</v>
      </c>
      <c r="N81" s="250" t="s">
        <v>265</v>
      </c>
      <c r="O81" s="250" t="s">
        <v>266</v>
      </c>
      <c r="P81" s="250" t="s">
        <v>267</v>
      </c>
      <c r="Q81" s="250" t="s">
        <v>268</v>
      </c>
      <c r="R81" s="250" t="s">
        <v>269</v>
      </c>
      <c r="S81" s="250" t="s">
        <v>270</v>
      </c>
      <c r="T81" s="250" t="s">
        <v>271</v>
      </c>
      <c r="U81" s="250" t="s">
        <v>272</v>
      </c>
      <c r="V81" s="250" t="s">
        <v>273</v>
      </c>
      <c r="W81" s="250" t="s">
        <v>274</v>
      </c>
      <c r="X81" s="250" t="s">
        <v>275</v>
      </c>
      <c r="Y81" s="251" t="s">
        <v>276</v>
      </c>
      <c r="Z81" s="31"/>
      <c r="AA81" s="31"/>
      <c r="AB81" s="31"/>
      <c r="AC81" s="31"/>
    </row>
    <row r="82" spans="1:29" ht="25.5" x14ac:dyDescent="0.25">
      <c r="A82" s="29"/>
      <c r="B82" s="29"/>
      <c r="C82" s="240"/>
      <c r="D82" s="242"/>
      <c r="E82" s="30"/>
      <c r="F82" s="30"/>
      <c r="G82" s="30"/>
      <c r="H82" s="29"/>
      <c r="I82" s="29"/>
      <c r="J82" s="30"/>
      <c r="K82" s="216" t="s">
        <v>33</v>
      </c>
      <c r="L82" s="252"/>
      <c r="M82" s="253"/>
      <c r="N82" s="252"/>
      <c r="O82" s="252"/>
      <c r="P82" s="254"/>
      <c r="Q82" s="252"/>
      <c r="R82" s="252"/>
      <c r="S82" s="253"/>
      <c r="T82" s="252"/>
      <c r="U82" s="253"/>
      <c r="V82" s="252"/>
      <c r="W82" s="252"/>
      <c r="X82" s="255" t="s">
        <v>277</v>
      </c>
      <c r="Y82" s="256"/>
      <c r="Z82" s="31"/>
      <c r="AA82" s="31"/>
      <c r="AB82" s="31"/>
      <c r="AC82" s="31"/>
    </row>
    <row r="83" spans="1:29" ht="25.5" x14ac:dyDescent="0.25">
      <c r="A83" s="29"/>
      <c r="B83" s="29"/>
      <c r="C83" s="240"/>
      <c r="D83" s="230"/>
      <c r="E83" s="30"/>
      <c r="F83" s="30"/>
      <c r="G83" s="30"/>
      <c r="H83" s="29"/>
      <c r="I83" s="29"/>
      <c r="J83" s="30"/>
      <c r="K83" s="216" t="s">
        <v>42</v>
      </c>
      <c r="L83" s="252"/>
      <c r="M83" s="253"/>
      <c r="N83" s="252"/>
      <c r="O83" s="252"/>
      <c r="P83" s="254"/>
      <c r="Q83" s="252"/>
      <c r="R83" s="252"/>
      <c r="S83" s="257"/>
      <c r="T83" s="253"/>
      <c r="U83" s="253"/>
      <c r="V83" s="252"/>
      <c r="W83" s="252"/>
      <c r="X83" s="258"/>
      <c r="Y83" s="256"/>
      <c r="Z83" s="31"/>
      <c r="AA83" s="31"/>
      <c r="AB83" s="31"/>
      <c r="AC83" s="31"/>
    </row>
    <row r="84" spans="1:29" ht="25.5" x14ac:dyDescent="0.25">
      <c r="A84" s="29"/>
      <c r="B84" s="29"/>
      <c r="C84" s="240"/>
      <c r="D84" s="230"/>
      <c r="E84" s="30"/>
      <c r="F84" s="30"/>
      <c r="G84" s="30"/>
      <c r="H84" s="29"/>
      <c r="I84" s="29"/>
      <c r="J84" s="30"/>
      <c r="K84" s="216" t="s">
        <v>51</v>
      </c>
      <c r="L84" s="252"/>
      <c r="M84" s="252"/>
      <c r="N84" s="252"/>
      <c r="O84" s="252"/>
      <c r="P84" s="252"/>
      <c r="Q84" s="254"/>
      <c r="R84" s="252"/>
      <c r="S84" s="253"/>
      <c r="T84" s="259"/>
      <c r="U84" s="253"/>
      <c r="V84" s="252"/>
      <c r="W84" s="252"/>
      <c r="X84" s="253" t="s">
        <v>277</v>
      </c>
      <c r="Y84" s="260"/>
      <c r="Z84" s="31"/>
      <c r="AA84" s="31"/>
      <c r="AB84" s="31"/>
      <c r="AC84" s="31"/>
    </row>
    <row r="85" spans="1:29" x14ac:dyDescent="0.25">
      <c r="A85" s="29"/>
      <c r="B85" s="29"/>
      <c r="C85" s="240"/>
      <c r="D85" s="230"/>
      <c r="E85" s="30"/>
      <c r="F85" s="30"/>
      <c r="G85" s="30"/>
      <c r="H85" s="29"/>
      <c r="I85" s="29"/>
      <c r="J85" s="30"/>
      <c r="K85" s="227" t="s">
        <v>60</v>
      </c>
      <c r="L85" s="252"/>
      <c r="M85" s="252"/>
      <c r="N85" s="252"/>
      <c r="O85" s="252"/>
      <c r="P85" s="254"/>
      <c r="Q85" s="252"/>
      <c r="R85" s="252"/>
      <c r="S85" s="252"/>
      <c r="T85" s="252"/>
      <c r="U85" s="252"/>
      <c r="V85" s="252"/>
      <c r="W85" s="252"/>
      <c r="X85" s="252"/>
      <c r="Y85" s="261"/>
      <c r="Z85" s="31"/>
      <c r="AA85" s="31"/>
      <c r="AB85" s="31"/>
      <c r="AC85" s="31"/>
    </row>
    <row r="86" spans="1:29" x14ac:dyDescent="0.25">
      <c r="A86" s="29"/>
      <c r="B86" s="29"/>
      <c r="C86" s="240"/>
      <c r="D86" s="230"/>
      <c r="E86" s="30"/>
      <c r="F86" s="30"/>
      <c r="G86" s="30"/>
      <c r="H86" s="29"/>
      <c r="I86" s="29"/>
      <c r="J86" s="30"/>
      <c r="K86" s="216" t="s">
        <v>68</v>
      </c>
      <c r="L86" s="252"/>
      <c r="M86" s="252"/>
      <c r="N86" s="252"/>
      <c r="O86" s="252"/>
      <c r="P86" s="252"/>
      <c r="Q86" s="254"/>
      <c r="R86" s="252"/>
      <c r="S86" s="252"/>
      <c r="T86" s="252"/>
      <c r="U86" s="252"/>
      <c r="V86" s="252"/>
      <c r="W86" s="252"/>
      <c r="X86" s="252"/>
      <c r="Y86" s="261"/>
      <c r="Z86" s="31"/>
      <c r="AA86" s="31"/>
      <c r="AB86" s="31"/>
      <c r="AC86" s="31"/>
    </row>
    <row r="87" spans="1:29" ht="25.5" x14ac:dyDescent="0.25">
      <c r="A87" s="29"/>
      <c r="B87" s="29"/>
      <c r="C87" s="29"/>
      <c r="D87" s="30"/>
      <c r="E87" s="30"/>
      <c r="F87" s="30"/>
      <c r="G87" s="30"/>
      <c r="H87" s="29"/>
      <c r="I87" s="29"/>
      <c r="J87" s="30"/>
      <c r="K87" s="216" t="s">
        <v>73</v>
      </c>
      <c r="L87" s="252"/>
      <c r="M87" s="252"/>
      <c r="N87" s="252"/>
      <c r="O87" s="252"/>
      <c r="P87" s="254"/>
      <c r="Q87" s="252"/>
      <c r="R87" s="252"/>
      <c r="S87" s="252"/>
      <c r="T87" s="252"/>
      <c r="U87" s="252"/>
      <c r="V87" s="262"/>
      <c r="W87" s="252"/>
      <c r="X87" s="259"/>
      <c r="Y87" s="260"/>
      <c r="Z87" s="31"/>
      <c r="AA87" s="31"/>
      <c r="AB87" s="31"/>
      <c r="AC87" s="31"/>
    </row>
    <row r="88" spans="1:29" ht="25.5" x14ac:dyDescent="0.25">
      <c r="A88" s="29"/>
      <c r="B88" s="29"/>
      <c r="C88" s="29"/>
      <c r="D88" s="30"/>
      <c r="E88" s="30"/>
      <c r="F88" s="30"/>
      <c r="G88" s="30"/>
      <c r="H88" s="29"/>
      <c r="I88" s="29"/>
      <c r="J88" s="30"/>
      <c r="K88" s="216" t="s">
        <v>80</v>
      </c>
      <c r="L88" s="252"/>
      <c r="M88" s="252"/>
      <c r="N88" s="252"/>
      <c r="O88" s="262"/>
      <c r="P88" s="254"/>
      <c r="Q88" s="252"/>
      <c r="R88" s="252"/>
      <c r="S88" s="263"/>
      <c r="T88" s="263"/>
      <c r="U88" s="252"/>
      <c r="V88" s="252"/>
      <c r="W88" s="252"/>
      <c r="X88" s="252"/>
      <c r="Y88" s="261"/>
      <c r="Z88" s="31"/>
      <c r="AA88" s="31"/>
      <c r="AB88" s="31"/>
      <c r="AC88" s="31"/>
    </row>
    <row r="89" spans="1:29" ht="26.25" thickBot="1" x14ac:dyDescent="0.3">
      <c r="A89" s="29"/>
      <c r="B89" s="29"/>
      <c r="C89" s="29"/>
      <c r="D89" s="30"/>
      <c r="E89" s="30"/>
      <c r="F89" s="30"/>
      <c r="G89" s="30"/>
      <c r="H89" s="29"/>
      <c r="I89" s="29"/>
      <c r="J89" s="30"/>
      <c r="K89" s="231" t="s">
        <v>85</v>
      </c>
      <c r="L89" s="264"/>
      <c r="M89" s="264"/>
      <c r="N89" s="264"/>
      <c r="O89" s="264"/>
      <c r="P89" s="265"/>
      <c r="Q89" s="264"/>
      <c r="R89" s="264"/>
      <c r="S89" s="266"/>
      <c r="T89" s="266"/>
      <c r="U89" s="264"/>
      <c r="V89" s="264"/>
      <c r="W89" s="267"/>
      <c r="X89" s="264"/>
      <c r="Y89" s="268"/>
      <c r="Z89" s="31"/>
      <c r="AA89" s="31"/>
      <c r="AB89" s="31"/>
      <c r="AC89" s="31"/>
    </row>
    <row r="90" spans="1:29" x14ac:dyDescent="0.25">
      <c r="A90" s="29"/>
      <c r="B90" s="29"/>
      <c r="C90" s="29"/>
      <c r="D90" s="30"/>
      <c r="E90" s="30"/>
      <c r="F90" s="30"/>
      <c r="G90" s="30"/>
      <c r="H90" s="29"/>
      <c r="I90" s="29"/>
      <c r="J90" s="30"/>
      <c r="K90" s="30"/>
      <c r="L90" s="30"/>
      <c r="M90" s="30"/>
      <c r="N90" s="30"/>
      <c r="O90" s="30"/>
      <c r="P90" s="30"/>
      <c r="Q90" s="30"/>
      <c r="R90" s="30"/>
      <c r="S90" s="30"/>
      <c r="T90" s="30"/>
      <c r="U90" s="30"/>
      <c r="V90" s="30"/>
      <c r="W90" s="30"/>
      <c r="X90" s="30"/>
      <c r="Y90" s="31"/>
      <c r="Z90" s="31"/>
      <c r="AA90" s="31"/>
      <c r="AB90" s="31"/>
      <c r="AC90" s="31"/>
    </row>
    <row r="91" spans="1:29" x14ac:dyDescent="0.25">
      <c r="A91" s="29"/>
      <c r="B91" s="29"/>
      <c r="C91" s="29"/>
      <c r="D91" s="30"/>
      <c r="E91" s="30"/>
      <c r="F91" s="30"/>
      <c r="G91" s="30"/>
      <c r="H91" s="29"/>
      <c r="I91" s="29"/>
      <c r="J91" s="30"/>
      <c r="K91" s="46" t="s">
        <v>278</v>
      </c>
      <c r="L91" s="46"/>
      <c r="M91" s="46"/>
      <c r="N91" s="46"/>
      <c r="O91" s="46"/>
      <c r="P91" s="46"/>
      <c r="Q91" s="46"/>
      <c r="R91" s="46"/>
      <c r="S91" s="46"/>
      <c r="T91" s="46"/>
      <c r="U91" s="46"/>
      <c r="V91" s="46"/>
      <c r="W91" s="46"/>
      <c r="X91" s="46"/>
      <c r="Y91" s="46"/>
      <c r="Z91" s="43"/>
      <c r="AA91" s="43"/>
      <c r="AB91" s="43"/>
      <c r="AC91" s="43"/>
    </row>
  </sheetData>
  <mergeCells count="47">
    <mergeCell ref="K91:Y91"/>
    <mergeCell ref="M77:R77"/>
    <mergeCell ref="S77:W77"/>
    <mergeCell ref="M78:R78"/>
    <mergeCell ref="S78:W78"/>
    <mergeCell ref="M79:R79"/>
    <mergeCell ref="S79:W79"/>
    <mergeCell ref="Z33:AC33"/>
    <mergeCell ref="Z34:AC34"/>
    <mergeCell ref="B35:B49"/>
    <mergeCell ref="Z35:AC35"/>
    <mergeCell ref="Z36:AC36"/>
    <mergeCell ref="K37:Y37"/>
    <mergeCell ref="J43:AC43"/>
    <mergeCell ref="Z45:AC45"/>
    <mergeCell ref="J73:AC73"/>
    <mergeCell ref="M75:R75"/>
    <mergeCell ref="S75:W75"/>
    <mergeCell ref="M76:R76"/>
    <mergeCell ref="S76:W76"/>
    <mergeCell ref="B25:B34"/>
    <mergeCell ref="J26:AC26"/>
    <mergeCell ref="Z28:AC28"/>
    <mergeCell ref="Z29:AC29"/>
    <mergeCell ref="Z30:AC30"/>
    <mergeCell ref="Z31:AC31"/>
    <mergeCell ref="Z32:AC32"/>
    <mergeCell ref="B9:G9"/>
    <mergeCell ref="J9:AC9"/>
    <mergeCell ref="Z11:AC11"/>
    <mergeCell ref="B12:B24"/>
    <mergeCell ref="Z12:AC12"/>
    <mergeCell ref="Z13:AC13"/>
    <mergeCell ref="Z14:AC14"/>
    <mergeCell ref="Z15:AC15"/>
    <mergeCell ref="Z16:AC16"/>
    <mergeCell ref="Z17:AC17"/>
    <mergeCell ref="Z18:AC18"/>
    <mergeCell ref="Z19:AC19"/>
    <mergeCell ref="K20:Y20"/>
    <mergeCell ref="B3:AC3"/>
    <mergeCell ref="B5:G5"/>
    <mergeCell ref="K5:L5"/>
    <mergeCell ref="M5:Y5"/>
    <mergeCell ref="B7:G8"/>
    <mergeCell ref="K7:L7"/>
    <mergeCell ref="M7:S7"/>
  </mergeCells>
  <conditionalFormatting sqref="L63:Y70">
    <cfRule type="cellIs" dxfId="2" priority="1" stopIfTrue="1" operator="lessThan">
      <formula>0</formula>
    </cfRule>
    <cfRule type="cellIs" dxfId="1" priority="2" stopIfTrue="1" operator="greaterThan">
      <formula>0</formula>
    </cfRule>
    <cfRule type="cellIs" dxfId="0" priority="3" stopIfTrue="1" operator="equal">
      <formula>0</formula>
    </cfRule>
  </conditionalFormatting>
  <pageMargins left="0.7" right="0.7" top="0.75" bottom="0.75" header="0.3" footer="0.3"/>
  <drawing r:id="rId1"/>
  <legacyDrawing r:id="rId2"/>
  <oleObjects>
    <mc:AlternateContent xmlns:mc="http://schemas.openxmlformats.org/markup-compatibility/2006">
      <mc:Choice Requires="x14">
        <oleObject progId="Equation.3" shapeId="1025" r:id="rId3">
          <objectPr defaultSize="0" autoPict="0" r:id="rId4">
            <anchor moveWithCells="1" sizeWithCells="1">
              <from>
                <xdr:col>24</xdr:col>
                <xdr:colOff>0</xdr:colOff>
                <xdr:row>72</xdr:row>
                <xdr:rowOff>0</xdr:rowOff>
              </from>
              <to>
                <xdr:col>24</xdr:col>
                <xdr:colOff>0</xdr:colOff>
                <xdr:row>72</xdr:row>
                <xdr:rowOff>0</xdr:rowOff>
              </to>
            </anchor>
          </objectPr>
        </oleObject>
      </mc:Choice>
      <mc:Fallback>
        <oleObject progId="Equation.3" shapeId="1025" r:id="rId3"/>
      </mc:Fallback>
    </mc:AlternateContent>
    <mc:AlternateContent xmlns:mc="http://schemas.openxmlformats.org/markup-compatibility/2006">
      <mc:Choice Requires="x14">
        <oleObject progId="Equation.3" shapeId="1026" r:id="rId5">
          <objectPr defaultSize="0" autoPict="0" r:id="rId6">
            <anchor moveWithCells="1" sizeWithCells="1">
              <from>
                <xdr:col>24</xdr:col>
                <xdr:colOff>0</xdr:colOff>
                <xdr:row>72</xdr:row>
                <xdr:rowOff>0</xdr:rowOff>
              </from>
              <to>
                <xdr:col>24</xdr:col>
                <xdr:colOff>0</xdr:colOff>
                <xdr:row>72</xdr:row>
                <xdr:rowOff>0</xdr:rowOff>
              </to>
            </anchor>
          </objectPr>
        </oleObject>
      </mc:Choice>
      <mc:Fallback>
        <oleObject progId="Equation.3" shapeId="1026" r:id="rId5"/>
      </mc:Fallback>
    </mc:AlternateContent>
    <mc:AlternateContent xmlns:mc="http://schemas.openxmlformats.org/markup-compatibility/2006">
      <mc:Choice Requires="x14">
        <oleObject progId="Equation.3" shapeId="1027" r:id="rId7">
          <objectPr defaultSize="0" autoPict="0" r:id="rId4">
            <anchor moveWithCells="1" sizeWithCells="1">
              <from>
                <xdr:col>24</xdr:col>
                <xdr:colOff>0</xdr:colOff>
                <xdr:row>72</xdr:row>
                <xdr:rowOff>0</xdr:rowOff>
              </from>
              <to>
                <xdr:col>24</xdr:col>
                <xdr:colOff>0</xdr:colOff>
                <xdr:row>72</xdr:row>
                <xdr:rowOff>0</xdr:rowOff>
              </to>
            </anchor>
          </objectPr>
        </oleObject>
      </mc:Choice>
      <mc:Fallback>
        <oleObject progId="Equation.3" shapeId="1027" r:id="rId7"/>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10</vt:i4>
      </vt:variant>
    </vt:vector>
  </HeadingPairs>
  <TitlesOfParts>
    <vt:vector size="11" baseType="lpstr">
      <vt:lpstr>Sheet1</vt:lpstr>
      <vt:lpstr>ASM1_f_P</vt:lpstr>
      <vt:lpstr>ASM1_i_Charge_NHx</vt:lpstr>
      <vt:lpstr>ASM1_i_Charge_NOx</vt:lpstr>
      <vt:lpstr>ASM1_i_COD_N2</vt:lpstr>
      <vt:lpstr>ASM1_i_COD_NOx</vt:lpstr>
      <vt:lpstr>ASM1_i_NOx.N2</vt:lpstr>
      <vt:lpstr>ASM1_i_XB</vt:lpstr>
      <vt:lpstr>ASM1_i_XP</vt:lpstr>
      <vt:lpstr>ASM1_Y_A</vt:lpstr>
      <vt:lpstr>ASM1_Y_H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Samet Uygur</dc:creator>
  <cp:lastModifiedBy>Mustafa Samet Uygur</cp:lastModifiedBy>
  <dcterms:created xsi:type="dcterms:W3CDTF">2015-06-05T18:17:20Z</dcterms:created>
  <dcterms:modified xsi:type="dcterms:W3CDTF">2026-08-27T17:00:42Z</dcterms:modified>
</cp:coreProperties>
</file>